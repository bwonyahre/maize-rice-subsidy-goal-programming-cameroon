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GRISTAT_2016-2020" sheetId="2" state="visible" r:id="rId4"/>
    <sheet name="Cible_SND30_Demande" sheetId="3" state="visible" r:id="rId5"/>
    <sheet name="Parametres_Modele" sheetId="4" state="visible" r:id="rId6"/>
    <sheet name="Resultats_Optimisation" sheetId="5" state="visible" r:id="rId7"/>
    <sheet name="Panel_Regional_Maïs" sheetId="6" state="visible" r:id="rId8"/>
    <sheet name="Detail_Departements" sheetId="7" state="visible" r:id="rId9"/>
    <sheet name="Semences_Intrants" sheetId="8" state="visible" r:id="rId10"/>
    <sheet name="National_FAOSTA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<sst xmlns="http://schemas.openxmlformats.org/spreadsheetml/2006/main" count="609" uniqueCount="290">
  <si>
    <t xml:space="preserve">Projet SND30 Maïs — Base de données consolidée</t>
  </si>
  <si>
    <t xml:space="preserve">Compilation des données de production, superficie et rendement du maïs au Cameroun, par région, 2007–2024</t>
  </si>
  <si>
    <t xml:space="preserve">CONTENU DU CLASSEUR</t>
  </si>
  <si>
    <t xml:space="preserve">1. AGRISTAT_2016-2020 : source unique et officielle DESA/MINADER (AGRISTAT, édition 2022) — production, superficie, rendement du maïs par région, 2016-2020, + quantités de semences distribuées 2017-2020 (variable x_i du modèle d'optimisation).</t>
  </si>
  <si>
    <t xml:space="preserve">2. Panel_Regional_Maïs : panel région × année consolidé (2007-2024) combinant AGRISTAT et les annuaires régionaux INS les plus récents. Colonne 'Source' pour chaque valeur — traçabilité complète.</t>
  </si>
  <si>
    <t xml:space="preserve">3. Detail_Departements : tableaux départementaux bruts extraits des annuaires INS pour les régions où cette granularité était disponible (Adamaoua, Centre, Littoral, Nord, Nord-Ouest).</t>
  </si>
  <si>
    <t xml:space="preserve">4. National_FAOSTAT : série nationale de référence (production et rendement), 2010-2024, FAOSTAT via Our World in Data — sert de contrôle de cohérence avec les sommes régionales.</t>
  </si>
  <si>
    <t xml:space="preserve">5. Semences_Intrants : quantités de semences de maïs distribuées par région (proxy de la variable de subvention x_i), 2016-2021, toutes sources confondues.</t>
  </si>
  <si>
    <t xml:space="preserve">LIMITES ET POINTS DE VIGILANCE (IMPORTANT AVANT ANALYSE)</t>
  </si>
  <si>
    <t xml:space="preserve">— Incohérences inter-éditions : plusieurs annuaires régionaux se contredisent d'une édition à l'autre pour les mêmes années (ex. Région du Sud : le maïs 2019 vaut 101 262 t dans l'édition 2024 mais 189 497 t dans l'édition 2020). AGRISTAT (source nationale unique DESA/MINADER) est donc retenu comme référence prioritaire pour 2016-2020 ; les annuaires régionaux ne sont utilisés qu'au-delà (2021-2024) ou en-deçà (avant 2016) de cette période.</t>
  </si>
  <si>
    <t xml:space="preserve">— Anomalie Région du Nord 2014 : la valeur 'maïs 2014' diffère entre le Tableau 14-1 (3 692 t) et le Tableau 14-3 (85 922 t) du même annuaire. Les deux valeurs sont conservées avec indication de la table source ; à corriger par retour à la DR-MINADER si besoin.</t>
  </si>
  <si>
    <t xml:space="preserve">— Est et Nord (annuaires régionaux) : liens non trouvés lors de la recherche web ; seules les données AGRISTAT (2016-2020) couvrent ces deux régions pour l'instant.</t>
  </si>
  <si>
    <t xml:space="preserve">— Aucune donnée trouvée en accès libre sur le budget des subventions en FCFA (seulement les tonnages de semences distribuées) — à demander en direct à la DESA/MINADER si nécessaire pour calibrer le modèle avec un budget B en valeur monétaire.</t>
  </si>
  <si>
    <t xml:space="preserve">— Toutes les valeurs sont telles que publiées dans les documents sources ; aucun lissage ni interpolation n'a été appliqué.</t>
  </si>
  <si>
    <t xml:space="preserve">Maïs par région — Source unique DESA/MINADER (AGRISTAT, édition 2022)</t>
  </si>
  <si>
    <t xml:space="preserve">Source : Annuaire statistique du MINADER (AGRISTAT), édition 2022 — Tableaux 4, 7 et 109</t>
  </si>
  <si>
    <t xml:space="preserve">PRODUCTION (tonnes)</t>
  </si>
  <si>
    <t xml:space="preserve">Région</t>
  </si>
  <si>
    <t xml:space="preserve">Adamaoua</t>
  </si>
  <si>
    <t xml:space="preserve">Centre</t>
  </si>
  <si>
    <t xml:space="preserve">Est</t>
  </si>
  <si>
    <t xml:space="preserve">Extrême-Nord</t>
  </si>
  <si>
    <t xml:space="preserve">Littoral</t>
  </si>
  <si>
    <t xml:space="preserve">Nord</t>
  </si>
  <si>
    <t xml:space="preserve">Nord-Ouest</t>
  </si>
  <si>
    <t xml:space="preserve">Ouest</t>
  </si>
  <si>
    <t xml:space="preserve">Sud</t>
  </si>
  <si>
    <t xml:space="preserve">Sud-Ouest</t>
  </si>
  <si>
    <t xml:space="preserve">Total national</t>
  </si>
  <si>
    <t xml:space="preserve">SUPERFICIE (hectares)</t>
  </si>
  <si>
    <t xml:space="preserve">RENDEMENT (tonnes/hectare) — tel que publié par AGRISTAT</t>
  </si>
  <si>
    <t xml:space="preserve">Total national (calculé = Prod/Surface)</t>
  </si>
  <si>
    <t xml:space="preserve">Source : DESA/MINADER, Annuaire statistique du MINADER (AGRISTAT), édition 2022, Tableaux 4 (production), 7 (rendement) et 109 (superficie).</t>
  </si>
  <si>
    <t xml:space="preserve">Cible SND30 2030 et contexte de la demande nationale — Maïs</t>
  </si>
  <si>
    <t xml:space="preserve">Source : Rapport d'évaluation à mi-parcours de la SND30 (2025), Tableaux 16 et 17, §249-250</t>
  </si>
  <si>
    <t xml:space="preserve">CIBLES OFFICIELLES DE PRODUCTION</t>
  </si>
  <si>
    <t xml:space="preserve">Cible 2025 (jalon intermédiaire)</t>
  </si>
  <si>
    <t xml:space="preserve">Cible 2030 (objectif final SND30)</t>
  </si>
  <si>
    <t xml:space="preserve">Taux de réalisation prévisionnel 2025 (au rythme actuel)</t>
  </si>
  <si>
    <t xml:space="preserve">Taux de réalisation prévisionnel 2030 (au rythme actuel)</t>
  </si>
  <si>
    <t xml:space="preserve">PRODUCTION NATIONALE OBSERVÉE 2020-2024</t>
  </si>
  <si>
    <t xml:space="preserve">Année</t>
  </si>
  <si>
    <t xml:space="preserve">Production (t)</t>
  </si>
  <si>
    <t xml:space="preserve">Croissance annuelle moyenne 2020-2024</t>
  </si>
  <si>
    <t xml:space="preserve">DEMANDE NATIONALE ET AUTOSUFFISANCE</t>
  </si>
  <si>
    <t xml:space="preserve">Demande nationale estimée (2019)</t>
  </si>
  <si>
    <t xml:space="preserve">2 800 000 tonnes</t>
  </si>
  <si>
    <t xml:space="preserve">Taux d'autosuffisance du maïs (2022)</t>
  </si>
  <si>
    <t xml:space="preserve">80,5%</t>
  </si>
  <si>
    <t xml:space="preserve">Rendement moyen national 2017 (variétés composites)</t>
  </si>
  <si>
    <t xml:space="preserve">2,4 t/ha</t>
  </si>
  <si>
    <t xml:space="preserve">Rendement moyen national 2021 (variétés composites)</t>
  </si>
  <si>
    <t xml:space="preserve">2,8 t/ha</t>
  </si>
  <si>
    <t xml:space="preserve">Superficie nationale cultivée 2021</t>
  </si>
  <si>
    <t xml:space="preserve">≈1,3 million ha (+10,5% vs 2020)</t>
  </si>
  <si>
    <t xml:space="preserve">ÉCART À COMBLER D'ICI 2030</t>
  </si>
  <si>
    <t xml:space="preserve">Production 2024 (t)</t>
  </si>
  <si>
    <t xml:space="preserve">Cible 2030 (t)</t>
  </si>
  <si>
    <t xml:space="preserve">Écart absolu à combler (t)</t>
  </si>
  <si>
    <t xml:space="preserve">Facteur multiplicatif requis vs 2024</t>
  </si>
  <si>
    <t xml:space="preserve">Taux de croissance annuel requis 2024→2030 (6 ans) pour atteindre la cible</t>
  </si>
  <si>
    <t xml:space="preserve">CONTRAINTES CITÉES PAR LE RAPPORT (§250)</t>
  </si>
  <si>
    <t xml:space="preserve">— Coût élevé des engrais et pesticides</t>
  </si>
  <si>
    <t xml:space="preserve">— Faible accessibilité aux semences améliorées</t>
  </si>
  <si>
    <t xml:space="preserve">— Difficulté de sécurisation foncière</t>
  </si>
  <si>
    <t xml:space="preserve">— Persistance des effets du changement climatique</t>
  </si>
  <si>
    <t xml:space="preserve">Aucune politique de subvention directe aux engrais pour le maïs n'est mentionnée dans les deux documents SND30 (confirmé absent). Le rapport ne cite qu'une subvention ponctuelle de 10,3 milliards FCFA à l'IRAD pour la filière BLÉ (2022, 5 ans) — sans équivalent pour le maïs.</t>
  </si>
  <si>
    <t xml:space="preserve">Calibrage des paramètres du modèle d'optimisation</t>
  </si>
  <si>
    <t xml:space="preserve">Valeurs de référence nationales, faute de données désagrégées par région pour l'instant.</t>
  </si>
  <si>
    <t xml:space="preserve">RENDEMENT — semences composites vs hybrides</t>
  </si>
  <si>
    <t xml:space="preserve">Rendement de base observé (moyenne nationale 2020)</t>
  </si>
  <si>
    <t xml:space="preserve">≈2,0 t/ha</t>
  </si>
  <si>
    <t xml:space="preserve">AGRISTAT 2022</t>
  </si>
  <si>
    <t xml:space="preserve">Rendement variétés composites — champ producteur</t>
  </si>
  <si>
    <t xml:space="preserve">4 t/ha</t>
  </si>
  <si>
    <t xml:space="preserve">La Voix Du Paysan, 2019</t>
  </si>
  <si>
    <t xml:space="preserve">Rendement variétés composites — potentiel recherche IRAD</t>
  </si>
  <si>
    <t xml:space="preserve">5-6 t/ha</t>
  </si>
  <si>
    <t xml:space="preserve">Médiaterre / IRAD, MINRESI</t>
  </si>
  <si>
    <t xml:space="preserve">Rendement variétés hybrides — champ producteur</t>
  </si>
  <si>
    <t xml:space="preserve">8 t/ha</t>
  </si>
  <si>
    <t xml:space="preserve">La Voix Du Paysan, 2019 ; Cameroun24</t>
  </si>
  <si>
    <t xml:space="preserve">Rendement variétés hybrides — potentiel recherche IRAD</t>
  </si>
  <si>
    <t xml:space="preserve">8-10 t/ha</t>
  </si>
  <si>
    <t xml:space="preserve">akéva, 2024 ; Médiaterre</t>
  </si>
  <si>
    <t xml:space="preserve">Rendement variétés traditionnelles non améliorées (référence basse)</t>
  </si>
  <si>
    <t xml:space="preserve">0,5 t/ha</t>
  </si>
  <si>
    <t xml:space="preserve">akéva, 2024</t>
  </si>
  <si>
    <t xml:space="preserve">COÛT DES SEMENCES (proxy du coût de subvention par hectare)</t>
  </si>
  <si>
    <t xml:space="preserve">Prix semences composites</t>
  </si>
  <si>
    <t xml:space="preserve">700 FCFA/kg</t>
  </si>
  <si>
    <t xml:space="preserve">Prix semences hybrides</t>
  </si>
  <si>
    <t xml:space="preserve">1 800 FCFA/kg</t>
  </si>
  <si>
    <t xml:space="preserve">Dose de semis recommandée</t>
  </si>
  <si>
    <t xml:space="preserve">20-25 kg/ha</t>
  </si>
  <si>
    <t xml:space="preserve">IFATI ; IRAD</t>
  </si>
  <si>
    <t xml:space="preserve">→ Coût semences composites/ha (calculé, 22,5 kg/ha)</t>
  </si>
  <si>
    <t xml:space="preserve">≈15 750 FCFA/ha</t>
  </si>
  <si>
    <t xml:space="preserve">Calcul</t>
  </si>
  <si>
    <t xml:space="preserve">→ Coût semences hybrides/ha (calculé, 22,5 kg/ha)</t>
  </si>
  <si>
    <t xml:space="preserve">≈40 500 FCFA/ha</t>
  </si>
  <si>
    <t xml:space="preserve">DISPONIBILITÉ FONCIÈRE (niveau national — pas de détail régional trouvé)</t>
  </si>
  <si>
    <t xml:space="preserve">Terres arables totales</t>
  </si>
  <si>
    <t xml:space="preserve">7,2 millions ha</t>
  </si>
  <si>
    <t xml:space="preserve">Réseau-FAR ; Investir au Cameroun</t>
  </si>
  <si>
    <t xml:space="preserve">Terres arables effectivement cultivées (toutes cultures)</t>
  </si>
  <si>
    <t xml:space="preserve">1,8 million ha (26%)</t>
  </si>
  <si>
    <t xml:space="preserve">→ Marge théorique nationale de terres arables non cultivées</t>
  </si>
  <si>
    <t xml:space="preserve">≈5,4 millions ha</t>
  </si>
  <si>
    <t xml:space="preserve">Superficie maïs actuelle (référence)</t>
  </si>
  <si>
    <t xml:space="preserve">≈1,3 million ha</t>
  </si>
  <si>
    <t xml:space="preserve">SND30 éval. mi-parcours, §250</t>
  </si>
  <si>
    <t xml:space="preserve">BENCHMARKS BUDGÉTAIRES (aucun budget maïs officiel trouvé — analogies)</t>
  </si>
  <si>
    <t xml:space="preserve">Plan filière Blé (3 ans, semences+intrants+stockage), cible 180 000 t</t>
  </si>
  <si>
    <t xml:space="preserve">30,9 milliards FCFA</t>
  </si>
  <si>
    <t xml:space="preserve">237online, juin 2026</t>
  </si>
  <si>
    <t xml:space="preserve">→ Intensité d'investissement impliquée (calcul, 3 ans)</t>
  </si>
  <si>
    <t xml:space="preserve">≈171 700 FCFA/tonne visée</t>
  </si>
  <si>
    <t xml:space="preserve">Subvention IRAD dédiée blé (2022-2027, 5 ans)</t>
  </si>
  <si>
    <t xml:space="preserve">10,3 milliards FCFA</t>
  </si>
  <si>
    <t xml:space="preserve">SND30 éval. mi-parcours, §252</t>
  </si>
  <si>
    <t xml:space="preserve">PIISAH — programme agropastoral intégré (2024-2026, tous secteurs confondus)</t>
  </si>
  <si>
    <t xml:space="preserve">1 500 milliards FCFA</t>
  </si>
  <si>
    <t xml:space="preserve">MINADER Infos n°9, 2026</t>
  </si>
  <si>
    <t xml:space="preserve">Budget général de l'État 2026 (référence macro)</t>
  </si>
  <si>
    <t xml:space="preserve">8 816,4 milliards FCFA</t>
  </si>
  <si>
    <t xml:space="preserve">MINFI, loi de finances 2026</t>
  </si>
  <si>
    <t xml:space="preserve">LIMITE IMPORTANTE : ces paramètres sont des références nationales faute de mieux — pas de granularité régionale. Le coût par tonne du plan Blé (chaîne de valeur complète) n'est qu'un proxy grossier pour un budget maïs (semences seules) : à utiliser en scénario, pas comme donnée dure.</t>
  </si>
  <si>
    <t xml:space="preserve">Aucune politique de subvention aux engrais/semences spécifique au maïs identifiée à ce stade (conforme au constat de l'utilisateur) — seul le blé bénéficie d'un mécanisme dédié.</t>
  </si>
  <si>
    <t xml:space="preserve">INTRANTS — DOSAGE ENGRAIS (grammage, base physique kg/ha)</t>
  </si>
  <si>
    <t xml:space="preserve">Dosage NPK 20-10-10 (zone hautes terres, au semis)</t>
  </si>
  <si>
    <t xml:space="preserve">200-300 kg/ha</t>
  </si>
  <si>
    <t xml:space="preserve">Manuel IFATI / IRAD</t>
  </si>
  <si>
    <t xml:space="preserve">Dosage NPK 20-10-10 (zone forestière, au semis)</t>
  </si>
  <si>
    <t xml:space="preserve">300-400 kg/ha</t>
  </si>
  <si>
    <t xml:space="preserve">Dosage Urée 46%N (épiaison, ~1,5 mois après semis)</t>
  </si>
  <si>
    <t xml:space="preserve">100-150 kg/ha</t>
  </si>
  <si>
    <t xml:space="preserve">→ Dosage total engrais (NPK+Urée)</t>
  </si>
  <si>
    <t xml:space="preserve">300-550 kg/ha</t>
  </si>
  <si>
    <t xml:space="preserve">Prix NPK 20-10-10 marché (Ouest, avril-mai 2026)</t>
  </si>
  <si>
    <t xml:space="preserve">420-520 FCFA/kg (21 000-26 000 F/sac 50kg)</t>
  </si>
  <si>
    <t xml:space="preserve">datacameroon.com, mai 2026</t>
  </si>
  <si>
    <r>
      <rPr>
        <sz val="10"/>
        <rFont val="Arial"/>
        <family val="0"/>
        <charset val="1"/>
      </rPr>
      <t xml:space="preserve">Prix Urée marché 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, annonces filière)</t>
    </r>
  </si>
  <si>
    <t xml:space="preserve">460-620 FCFA/kg (23 000-31 000 F/sac 50kg)</t>
  </si>
  <si>
    <t xml:space="preserve">Annonces marché ; ordre de grandeur</t>
  </si>
  <si>
    <t xml:space="preserve">→ Coût engrais/ha (médian)</t>
  </si>
  <si>
    <t xml:space="preserve">≈208 500 FCFA/ha</t>
  </si>
  <si>
    <t xml:space="preserve">→ Coût package complet semences composites + engrais/ha</t>
  </si>
  <si>
    <t xml:space="preserve">146 000-317 000 FCFA/ha</t>
  </si>
  <si>
    <t xml:space="preserve">APPROCHE RETENUE POUR Eᵢᵐᵃˣ (foncier, faute de détail régional)</t>
  </si>
  <si>
    <t xml:space="preserve">Eᵢᵐᵃˣ = β · Sᵢ  (superficie d'extension plafonnée à un multiple β de la superficie régionale actuelle Sᵢ, β = paramètre de scénario testé en sensibilité — ex. β=0,25 / 0,5 / 1)</t>
  </si>
  <si>
    <t xml:space="preserve">Repère national de cohérence : marge arable non cultivée ≈5,4 Mha pour 1,3 Mha de maïs actuel, soit β_national ≈ 4,2 (borne haute théorique, non atteignable en pratique).</t>
  </si>
  <si>
    <t xml:space="preserve">SCÉNARIO CHIFFRÉ — cible 80% (6,4 Mt) via intensification (4 t/ha, composites+engrais)</t>
  </si>
  <si>
    <t xml:space="preserve">Surface nécessaire à 4 t/ha</t>
  </si>
  <si>
    <t xml:space="preserve">1 600 000 ha (+23% vs 1,3 Mha actuel)</t>
  </si>
  <si>
    <t xml:space="preserve">Tonnage NPK national requis</t>
  </si>
  <si>
    <t xml:space="preserve">320 000-640 000 t</t>
  </si>
  <si>
    <t xml:space="preserve">Tonnage Urée national requis</t>
  </si>
  <si>
    <t xml:space="preserve">160 000-240 000 t</t>
  </si>
  <si>
    <t xml:space="preserve">Budget total implicite (semences composites + engrais)</t>
  </si>
  <si>
    <t xml:space="preserve">233-507 milliards FCFA</t>
  </si>
  <si>
    <t xml:space="preserve">Résultats du modèle d'optimisation (programme linéaire)</t>
  </si>
  <si>
    <t xml:space="preserve">Résolu avec scipy.optimize.linprog (méthode HiGHS). Base 2020 (AGRISTAT) : production de référence = 2 088 592 t.</t>
  </si>
  <si>
    <t xml:space="preserve">SCÉNARIOS GLOBAUX — semences composites + engrais (plafond 4,0 t/ha)</t>
  </si>
  <si>
    <t xml:space="preserve">Scénario</t>
  </si>
  <si>
    <t xml:space="preserve">Budget (Mds FCFA)</t>
  </si>
  <si>
    <t xml:space="preserve">β (foncier)</t>
  </si>
  <si>
    <t xml:space="preserve">Production atteinte (t)</t>
  </si>
  <si>
    <t xml:space="preserve">% cible 80% (6,4Mt)</t>
  </si>
  <si>
    <t xml:space="preserve">% cible 2030 (8Mt)</t>
  </si>
  <si>
    <t xml:space="preserve">Bas</t>
  </si>
  <si>
    <t xml:space="preserve">Médian</t>
  </si>
  <si>
    <t xml:space="preserve">Haut</t>
  </si>
  <si>
    <t xml:space="preserve">Haut, foncier étendu</t>
  </si>
  <si>
    <t xml:space="preserve">ALLOCATION RÉGIONALE OPTIMALE — Scénario Médian (370 Mds FCFA, β=0,5)</t>
  </si>
  <si>
    <t xml:space="preserve">xᵢ intensification (ha)</t>
  </si>
  <si>
    <t xml:space="preserve">eᵢ extension (ha)</t>
  </si>
  <si>
    <t xml:space="preserve">Superficie totale résultante (ha)</t>
  </si>
  <si>
    <t xml:space="preserve">LIMITES DU MODÈLE : (1) rendement plafond yᵢ¹ uniforme (4 t/ha) pour toutes les régions, faute de calibrage régional différencié — favorise mécaniquement les régions à faible rendement actuel (Ouest, Est) dans l'allocation optimale ; (2) coût d'extension eᵢ supposé identique au coût d'intensification (pas de coût de défrichement/mise en valeur distinct, faute de donnée) ; (3) scénario hybride (8 t/ha) donne des résultats démesurés (&gt;140% de la cible) qui signalent une limite d'implémentation non capturée par le modèle (formation, logistique, disponibilité des semences à grande échelle) plutôt qu'un potentiel réellement mobilisable — à traiter comme borne théorique, non comme scénario recommandé.</t>
  </si>
  <si>
    <t xml:space="preserve">DIFFÉRENCIATION PAR ZONE AGROÉCOLOGIQUE (IRAD, 5 zones)</t>
  </si>
  <si>
    <t xml:space="preserve">Zone agroécologique (IRAD)</t>
  </si>
  <si>
    <t xml:space="preserve">yᵢ⁰ (t/ha)</t>
  </si>
  <si>
    <t xml:space="preserve">yᵢ¹ différencié (t/ha)</t>
  </si>
  <si>
    <t xml:space="preserve">Hautes savanes</t>
  </si>
  <si>
    <t xml:space="preserve">Forêt bi-modale</t>
  </si>
  <si>
    <t xml:space="preserve">Soudano-sahélienne</t>
  </si>
  <si>
    <t xml:space="preserve">Forêt mono-modale</t>
  </si>
  <si>
    <t xml:space="preserve">Hauts plateaux</t>
  </si>
  <si>
    <t xml:space="preserve">COMPARAISON RÉSULTATS : plafond uniforme vs différencié</t>
  </si>
  <si>
    <t xml:space="preserve">Scénario budget</t>
  </si>
  <si>
    <t xml:space="preserve">Production (uniforme 4,0 t/ha)</t>
  </si>
  <si>
    <t xml:space="preserve">Production (différenciée par zone)</t>
  </si>
  <si>
    <t xml:space="preserve">Écart</t>
  </si>
  <si>
    <t xml:space="preserve">Bas (233 Mds)</t>
  </si>
  <si>
    <t xml:space="preserve">Médian (370 Mds)</t>
  </si>
  <si>
    <t xml:space="preserve">Haut (507 Mds)</t>
  </si>
  <si>
    <t xml:space="preserve">Zones IRAD (5 coordinations scientifiques) : forestière mono-modale (Littoral, Sud-Ouest), forestière bi-modale (Centre, Est, Sud), hauts plateaux (Ouest, Nord-Ouest), hautes savanes (Adamaoua), soudano-sahélienne (Extrême-Nord, Nord). Source : francophonieinnovation.org, 2019 (IRAD).</t>
  </si>
  <si>
    <t xml:space="preserve">Les valeurs yᵢ¹ différenciées restent des ESTIMATIONS RAISONNÉES (pas de mesure directe par zone trouvée) fondées sur les caractéristiques agroclimatiques de chaque zone (altitude, pluviométrie, variétés recommandées) — à affiner si des essais IRAD chiffrés par zone sont obtenus. Le résultat est toutefois robuste : la conclusion générale (scénario médian proche/au-dessus de 80% de la cible) ne change pas significativement (écart de -1 à +2% selon le budget).</t>
  </si>
  <si>
    <t xml:space="preserve">Panel consolidé Maïs — Région x Année (2007-2024), toutes sources</t>
  </si>
  <si>
    <t xml:space="preserve">Une ligne par région-année. Colonne Source = document et tableau d'origine, pour audit.</t>
  </si>
  <si>
    <t xml:space="preserve">Superficie (ha)</t>
  </si>
  <si>
    <t xml:space="preserve">Rendement (t/ha)</t>
  </si>
  <si>
    <t xml:space="preserve">Source</t>
  </si>
  <si>
    <t xml:space="preserve">AGRISTAT 2022 (DESA/MINADER)</t>
  </si>
  <si>
    <t xml:space="preserve">Annuaire Adamaoua ed.2024, Tableau 14.3</t>
  </si>
  <si>
    <t xml:space="preserve">Annuaire Centre ed.2024, Table 14-11</t>
  </si>
  <si>
    <t xml:space="preserve">Annuaire Extrême-Nord ed.2019, Tableau 13-10</t>
  </si>
  <si>
    <t xml:space="preserve">Annuaire Extrême-Nord ed.2019, Tableau 13-11</t>
  </si>
  <si>
    <t xml:space="preserve">Annuaire Littoral ed.2024, Tableau 15-7</t>
  </si>
  <si>
    <t xml:space="preserve">Annuaire Nord ed.2019, Tableau 14-3 (Région) — INCOHÉRENT avec Tableau 14-1 (3 692 t/160 248 ha) du même annuaire, cf. README</t>
  </si>
  <si>
    <t xml:space="preserve">Annuaire Nord ed.2019, Tableau 14-3 (Région)</t>
  </si>
  <si>
    <t xml:space="preserve">n.d.</t>
  </si>
  <si>
    <t xml:space="preserve">Annuaire Nord-Ouest ed.2024, Tableau 15-1 (série extrapolée)</t>
  </si>
  <si>
    <t xml:space="preserve">Annuaire Nord-Ouest ed.2024, Tableau 15-12</t>
  </si>
  <si>
    <t xml:space="preserve">Annuaire Nord-Ouest ed.2024, Tableau 15-13</t>
  </si>
  <si>
    <t xml:space="preserve">Annuaire Ouest ed.2024, Tableau 15.2</t>
  </si>
  <si>
    <t xml:space="preserve">Annuaire Sud ed.2019, Tableaux 11.2-11.3</t>
  </si>
  <si>
    <t xml:space="preserve">Annuaire Sud ed.2024, Tableaux 16.1/16.3</t>
  </si>
  <si>
    <t xml:space="preserve">Annuaire Sud-Ouest ed.2023, Tableau 15.1 (ALT — diverge d'AGRISTAT, cf. README)</t>
  </si>
  <si>
    <t xml:space="preserve">Annuaire Sud-Ouest ed.2023, Tableau 15.1</t>
  </si>
  <si>
    <t xml:space="preserve">Détail départemental — Maïs (superficie ha / production t)</t>
  </si>
  <si>
    <t xml:space="preserve">Extraction brute des tableaux départementaux des annuaires régionaux INS, telle que publiée.</t>
  </si>
  <si>
    <t xml:space="preserve">ADAMAOUA — 2018 à 2023</t>
  </si>
  <si>
    <t xml:space="preserve">Source : Annuaire statistique de l'Adamaoua, édition 2024, Tableau 14.3</t>
  </si>
  <si>
    <t xml:space="preserve">Département</t>
  </si>
  <si>
    <t xml:space="preserve">Superficie 2018</t>
  </si>
  <si>
    <t xml:space="preserve">Production 2018</t>
  </si>
  <si>
    <t xml:space="preserve">Superficie 2019</t>
  </si>
  <si>
    <t xml:space="preserve">Production 2019</t>
  </si>
  <si>
    <t xml:space="preserve">Superficie 2020</t>
  </si>
  <si>
    <t xml:space="preserve">Production 2020</t>
  </si>
  <si>
    <t xml:space="preserve">Superficie 2021</t>
  </si>
  <si>
    <t xml:space="preserve">Production 2021</t>
  </si>
  <si>
    <t xml:space="preserve">Superficie 2022</t>
  </si>
  <si>
    <t xml:space="preserve">Production 2022</t>
  </si>
  <si>
    <t xml:space="preserve">Superficie 2023</t>
  </si>
  <si>
    <t xml:space="preserve">Production 2023</t>
  </si>
  <si>
    <t xml:space="preserve">Djérem</t>
  </si>
  <si>
    <t xml:space="preserve">Faro et Déo</t>
  </si>
  <si>
    <t xml:space="preserve">Mayo-Banyo</t>
  </si>
  <si>
    <t xml:space="preserve">Mbéré</t>
  </si>
  <si>
    <t xml:space="preserve">Vina</t>
  </si>
  <si>
    <t xml:space="preserve">Adamaoua (total)</t>
  </si>
  <si>
    <t xml:space="preserve">CENTRE — 2021 à 2023</t>
  </si>
  <si>
    <t xml:space="preserve">Source : Annuaire statistique du Centre, édition 2024, Table 14-11</t>
  </si>
  <si>
    <t xml:space="preserve">Haute-Sanaga</t>
  </si>
  <si>
    <t xml:space="preserve">Lékié</t>
  </si>
  <si>
    <t xml:space="preserve">Mbam et Inoubou</t>
  </si>
  <si>
    <t xml:space="preserve">Mbam et Kim</t>
  </si>
  <si>
    <t xml:space="preserve">Mefou et Afamba</t>
  </si>
  <si>
    <t xml:space="preserve">Mefou et Akono</t>
  </si>
  <si>
    <t xml:space="preserve">Mfoundi</t>
  </si>
  <si>
    <t xml:space="preserve">Nyong et Kellé</t>
  </si>
  <si>
    <t xml:space="preserve">Nyong et Mfoumou</t>
  </si>
  <si>
    <t xml:space="preserve">Nyong et So'o</t>
  </si>
  <si>
    <t xml:space="preserve">Centre (total)</t>
  </si>
  <si>
    <t xml:space="preserve">LITTORAL — 2019 à 2023</t>
  </si>
  <si>
    <t xml:space="preserve">Source : Annuaire statistique du Littoral, édition 2024, Tableau 15-7</t>
  </si>
  <si>
    <t xml:space="preserve">Moungo</t>
  </si>
  <si>
    <t xml:space="preserve">Nkam</t>
  </si>
  <si>
    <t xml:space="preserve">Sanaga Maritime</t>
  </si>
  <si>
    <t xml:space="preserve">Wouri</t>
  </si>
  <si>
    <t xml:space="preserve">Littoral (total)</t>
  </si>
  <si>
    <t xml:space="preserve">NORD-OUEST — 2022 à 2023</t>
  </si>
  <si>
    <t xml:space="preserve">Source : Annuaire statistique du Nord-Ouest, édition 2024, Tableaux 15-12/15-13</t>
  </si>
  <si>
    <t xml:space="preserve">Boyo</t>
  </si>
  <si>
    <t xml:space="preserve">Bui</t>
  </si>
  <si>
    <t xml:space="preserve">Donga-Mantung</t>
  </si>
  <si>
    <t xml:space="preserve">Menchum</t>
  </si>
  <si>
    <t xml:space="preserve">Mezam</t>
  </si>
  <si>
    <t xml:space="preserve">Momo</t>
  </si>
  <si>
    <t xml:space="preserve">Ngoketunjia</t>
  </si>
  <si>
    <t xml:space="preserve">Nord-Ouest (total)</t>
  </si>
  <si>
    <t xml:space="preserve">NORD — 2018 (par département)</t>
  </si>
  <si>
    <t xml:space="preserve">Source : Annuaire statistique du Nord, édition 2019, Tableau 14-2</t>
  </si>
  <si>
    <t xml:space="preserve">Mayo Louti (2018)</t>
  </si>
  <si>
    <t xml:space="preserve">Faro (2018)</t>
  </si>
  <si>
    <t xml:space="preserve">Bénoué (2018)</t>
  </si>
  <si>
    <t xml:space="preserve">Mayo-Rey (2018)</t>
  </si>
  <si>
    <t xml:space="preserve">Nord (total 2018)</t>
  </si>
  <si>
    <t xml:space="preserve">Quantités de semences de maïs distribuées par région (tonnes)</t>
  </si>
  <si>
    <t xml:space="preserve">Proxy de la variable de subvention x_i du modèle — Source : DESA/MINADER (AGRISTAT 2022), Tableau 81</t>
  </si>
  <si>
    <t xml:space="preserve">…</t>
  </si>
  <si>
    <t xml:space="preserve">« … » = donnée non disponible dans la source (« Result not available », selon AGRISTAT).</t>
  </si>
  <si>
    <t xml:space="preserve">NB : La colonne 2016 est vide (le Tableau 81 d'AGRISTAT ne couvre que 2017-2020) ; le Nord n'a aucune valeur publiée sur toute la période pour cet indicateur.</t>
  </si>
  <si>
    <t xml:space="preserve">Série nationale de contrôle — Production et rendement du maïs, Cameroun</t>
  </si>
  <si>
    <t xml:space="preserve">Source : FAOSTAT via Our World in Data (ourworldindata.org/grapher/maize-production.csv ; maize-yields.csv)</t>
  </si>
  <si>
    <t xml:space="preserve">Production nationale (t)</t>
  </si>
  <si>
    <t xml:space="preserve">Rendement national (t/ha)</t>
  </si>
  <si>
    <t xml:space="preserve">Utilité : comparer la somme des 10 régions (feuille Panel/AGRISTAT) à cette série nationale FAO comme test de cohérence globale.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</si>
</sst>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0"/>
    <numFmt numFmtId="167" formatCode="#,##0"/>
    <numFmt numFmtId="168" formatCode="0.0%"/>
    <numFmt numFmtId="169" formatCode="0.00%"/>
    <numFmt numFmtId="170" formatCode="General"/>
    <numFmt numFmtId="171" formatCode="0.0"/>
    <numFmt numFmtId="172" formatCode="\+0.0%;\-0.0%"/>
    <numFmt numFmtId="173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.5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8.5"/>
      <name val="Arial"/>
      <family val="0"/>
      <charset val="1"/>
    </font>
    <font>
      <sz val="10"/>
      <name val="Noto Sans CJK SC"/>
      <family val="2"/>
    </font>
    <font>
      <sz val="8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27.75" hidden="false" customHeight="true" outlineLevel="0" collapsed="false">
      <c r="A5" s="3" t="s">
        <v>3</v>
      </c>
    </row>
    <row r="6" customFormat="false" ht="27.75" hidden="false" customHeight="true" outlineLevel="0" collapsed="false">
      <c r="A6" s="3" t="s">
        <v>4</v>
      </c>
    </row>
    <row r="7" customFormat="false" ht="27.75" hidden="false" customHeight="true" outlineLevel="0" collapsed="false">
      <c r="A7" s="3" t="s">
        <v>5</v>
      </c>
    </row>
    <row r="8" customFormat="false" ht="27.75" hidden="false" customHeight="true" outlineLevel="0" collapsed="false">
      <c r="A8" s="3" t="s">
        <v>6</v>
      </c>
    </row>
    <row r="9" customFormat="false" ht="27.7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27.75" hidden="false" customHeight="true" outlineLevel="0" collapsed="false">
      <c r="A12" s="5" t="s">
        <v>9</v>
      </c>
    </row>
    <row r="13" customFormat="false" ht="27.75" hidden="false" customHeight="true" outlineLevel="0" collapsed="false">
      <c r="A13" s="5" t="s">
        <v>10</v>
      </c>
    </row>
    <row r="14" customFormat="false" ht="27.75" hidden="false" customHeight="true" outlineLevel="0" collapsed="false">
      <c r="A14" s="5" t="s">
        <v>11</v>
      </c>
    </row>
    <row r="15" customFormat="false" ht="27.75" hidden="false" customHeight="true" outlineLevel="0" collapsed="false">
      <c r="A15" s="5" t="s">
        <v>12</v>
      </c>
    </row>
    <row r="16" customFormat="false" ht="27.75" hidden="false" customHeight="true" outlineLevel="0" collapsed="false">
      <c r="A16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6" t="s">
        <v>16</v>
      </c>
    </row>
    <row r="5" customFormat="false" ht="15" hidden="false" customHeight="false" outlineLevel="0" collapsed="false">
      <c r="A5" s="7" t="s">
        <v>17</v>
      </c>
      <c r="B5" s="7" t="n">
        <v>2016</v>
      </c>
      <c r="C5" s="7" t="n">
        <v>2017</v>
      </c>
      <c r="D5" s="7" t="n">
        <v>2018</v>
      </c>
      <c r="E5" s="7" t="n">
        <v>2019</v>
      </c>
      <c r="F5" s="7" t="n">
        <v>2020</v>
      </c>
    </row>
    <row r="6" customFormat="false" ht="15" hidden="false" customHeight="false" outlineLevel="0" collapsed="false">
      <c r="A6" s="8" t="s">
        <v>18</v>
      </c>
      <c r="B6" s="9" t="n">
        <v>182245.5</v>
      </c>
      <c r="C6" s="9" t="n">
        <v>169470.6</v>
      </c>
      <c r="D6" s="9" t="n">
        <v>173609.6</v>
      </c>
      <c r="E6" s="9" t="n">
        <v>164542</v>
      </c>
      <c r="F6" s="9" t="n">
        <v>153225.5</v>
      </c>
    </row>
    <row r="7" customFormat="false" ht="15" hidden="false" customHeight="false" outlineLevel="0" collapsed="false">
      <c r="A7" s="8" t="s">
        <v>19</v>
      </c>
      <c r="B7" s="9" t="n">
        <v>241549.1</v>
      </c>
      <c r="C7" s="9" t="n">
        <v>275708</v>
      </c>
      <c r="D7" s="9" t="n">
        <v>285001</v>
      </c>
      <c r="E7" s="9" t="n">
        <v>237149</v>
      </c>
      <c r="F7" s="9" t="n">
        <v>230086.8</v>
      </c>
    </row>
    <row r="8" customFormat="false" ht="15" hidden="false" customHeight="false" outlineLevel="0" collapsed="false">
      <c r="A8" s="8" t="s">
        <v>20</v>
      </c>
      <c r="B8" s="9" t="n">
        <v>114909.5</v>
      </c>
      <c r="C8" s="9" t="n">
        <v>119575.2</v>
      </c>
      <c r="D8" s="9" t="n">
        <v>123333</v>
      </c>
      <c r="E8" s="9" t="n">
        <v>100575.9</v>
      </c>
      <c r="F8" s="9" t="n">
        <v>96804.7</v>
      </c>
    </row>
    <row r="9" customFormat="false" ht="15" hidden="false" customHeight="false" outlineLevel="0" collapsed="false">
      <c r="A9" s="8" t="s">
        <v>21</v>
      </c>
      <c r="B9" s="9" t="n">
        <v>180874.4</v>
      </c>
      <c r="C9" s="9" t="n">
        <v>196391</v>
      </c>
      <c r="D9" s="9" t="n">
        <v>288883</v>
      </c>
      <c r="E9" s="9" t="n">
        <v>245218</v>
      </c>
      <c r="F9" s="9" t="n">
        <v>319542</v>
      </c>
    </row>
    <row r="10" customFormat="false" ht="15" hidden="false" customHeight="false" outlineLevel="0" collapsed="false">
      <c r="A10" s="8" t="s">
        <v>22</v>
      </c>
      <c r="B10" s="9" t="n">
        <v>189322</v>
      </c>
      <c r="C10" s="9" t="n">
        <v>190345</v>
      </c>
      <c r="D10" s="9" t="n">
        <v>194300</v>
      </c>
      <c r="E10" s="9" t="n">
        <v>253000</v>
      </c>
      <c r="F10" s="9" t="n">
        <v>210500</v>
      </c>
    </row>
    <row r="11" customFormat="false" ht="15" hidden="false" customHeight="false" outlineLevel="0" collapsed="false">
      <c r="A11" s="8" t="s">
        <v>23</v>
      </c>
      <c r="B11" s="9" t="n">
        <v>528201.8</v>
      </c>
      <c r="C11" s="9" t="n">
        <v>557240.5</v>
      </c>
      <c r="D11" s="9" t="n">
        <v>657031</v>
      </c>
      <c r="E11" s="9" t="n">
        <v>610446</v>
      </c>
      <c r="F11" s="9" t="n">
        <v>438976.5</v>
      </c>
    </row>
    <row r="12" customFormat="false" ht="15" hidden="false" customHeight="false" outlineLevel="0" collapsed="false">
      <c r="A12" s="8" t="s">
        <v>24</v>
      </c>
      <c r="B12" s="9" t="n">
        <v>220496.9</v>
      </c>
      <c r="C12" s="9" t="n">
        <v>224950.9</v>
      </c>
      <c r="D12" s="9" t="n">
        <v>215727.9</v>
      </c>
      <c r="E12" s="9" t="n">
        <v>112256</v>
      </c>
      <c r="F12" s="9" t="n">
        <v>84680</v>
      </c>
    </row>
    <row r="13" customFormat="false" ht="15" hidden="false" customHeight="false" outlineLevel="0" collapsed="false">
      <c r="A13" s="8" t="s">
        <v>25</v>
      </c>
      <c r="B13" s="9" t="n">
        <v>394888.4</v>
      </c>
      <c r="C13" s="9" t="n">
        <v>319468.4</v>
      </c>
      <c r="D13" s="9" t="n">
        <v>324260.4</v>
      </c>
      <c r="E13" s="9" t="n">
        <v>332073</v>
      </c>
      <c r="F13" s="9" t="n">
        <v>390904</v>
      </c>
    </row>
    <row r="14" customFormat="false" ht="15" hidden="false" customHeight="false" outlineLevel="0" collapsed="false">
      <c r="A14" s="8" t="s">
        <v>26</v>
      </c>
      <c r="B14" s="9" t="n">
        <v>88600</v>
      </c>
      <c r="C14" s="9" t="n">
        <v>59791</v>
      </c>
      <c r="D14" s="9" t="n">
        <v>91757.9</v>
      </c>
      <c r="E14" s="9" t="n">
        <v>101262</v>
      </c>
      <c r="F14" s="9" t="n">
        <v>101000</v>
      </c>
    </row>
    <row r="15" customFormat="false" ht="15" hidden="false" customHeight="false" outlineLevel="0" collapsed="false">
      <c r="A15" s="8" t="s">
        <v>27</v>
      </c>
      <c r="B15" s="9" t="n">
        <v>54853.1</v>
      </c>
      <c r="C15" s="9" t="n">
        <v>56285.5</v>
      </c>
      <c r="D15" s="9" t="n">
        <v>44732.9</v>
      </c>
      <c r="E15" s="9" t="n">
        <v>60693</v>
      </c>
      <c r="F15" s="9" t="n">
        <v>62237.6</v>
      </c>
    </row>
    <row r="16" customFormat="false" ht="15" hidden="false" customHeight="false" outlineLevel="0" collapsed="false">
      <c r="A16" s="6" t="s">
        <v>28</v>
      </c>
      <c r="B16" s="10" t="n">
        <f aca="false">SUM(B6:B15)</f>
        <v>2195940.7</v>
      </c>
      <c r="C16" s="10" t="n">
        <f aca="false">SUM(C6:C15)</f>
        <v>2169226.1</v>
      </c>
      <c r="D16" s="10" t="n">
        <f aca="false">SUM(D6:D15)</f>
        <v>2398636.7</v>
      </c>
      <c r="E16" s="10" t="n">
        <f aca="false">SUM(E6:E15)</f>
        <v>2217214.9</v>
      </c>
      <c r="F16" s="10" t="n">
        <f aca="false">SUM(F6:F15)</f>
        <v>2087957.1</v>
      </c>
    </row>
    <row r="18" customFormat="false" ht="15" hidden="false" customHeight="false" outlineLevel="0" collapsed="false">
      <c r="A18" s="6" t="s">
        <v>29</v>
      </c>
    </row>
    <row r="19" customFormat="false" ht="15" hidden="false" customHeight="false" outlineLevel="0" collapsed="false">
      <c r="A19" s="7" t="s">
        <v>17</v>
      </c>
      <c r="B19" s="7" t="n">
        <v>2016</v>
      </c>
      <c r="C19" s="7" t="n">
        <v>2017</v>
      </c>
      <c r="D19" s="7" t="n">
        <v>2018</v>
      </c>
      <c r="E19" s="7" t="n">
        <v>2019</v>
      </c>
      <c r="F19" s="7" t="n">
        <v>2020</v>
      </c>
    </row>
    <row r="20" customFormat="false" ht="15" hidden="false" customHeight="false" outlineLevel="0" collapsed="false">
      <c r="A20" s="8" t="s">
        <v>18</v>
      </c>
      <c r="B20" s="9" t="n">
        <v>75276.5</v>
      </c>
      <c r="C20" s="9" t="n">
        <v>73754.5</v>
      </c>
      <c r="D20" s="9" t="n">
        <v>71427</v>
      </c>
      <c r="E20" s="9" t="n">
        <v>72672</v>
      </c>
      <c r="F20" s="9" t="n">
        <v>67037</v>
      </c>
    </row>
    <row r="21" customFormat="false" ht="15" hidden="false" customHeight="false" outlineLevel="0" collapsed="false">
      <c r="A21" s="8" t="s">
        <v>19</v>
      </c>
      <c r="B21" s="9" t="n">
        <v>136925</v>
      </c>
      <c r="C21" s="9" t="n">
        <v>118876</v>
      </c>
      <c r="D21" s="9" t="n">
        <v>148580</v>
      </c>
      <c r="E21" s="9" t="n">
        <v>124815.3</v>
      </c>
      <c r="F21" s="9" t="n">
        <v>129937.5</v>
      </c>
    </row>
    <row r="22" customFormat="false" ht="15" hidden="false" customHeight="false" outlineLevel="0" collapsed="false">
      <c r="A22" s="8" t="s">
        <v>20</v>
      </c>
      <c r="B22" s="9" t="n">
        <v>65995</v>
      </c>
      <c r="C22" s="9" t="n">
        <v>81174.9</v>
      </c>
      <c r="D22" s="9" t="n">
        <v>83725.9</v>
      </c>
      <c r="E22" s="9" t="n">
        <v>89104</v>
      </c>
      <c r="F22" s="9" t="n">
        <v>87144</v>
      </c>
    </row>
    <row r="23" customFormat="false" ht="15" hidden="false" customHeight="false" outlineLevel="0" collapsed="false">
      <c r="A23" s="8" t="s">
        <v>21</v>
      </c>
      <c r="B23" s="9" t="n">
        <v>103880.1</v>
      </c>
      <c r="C23" s="9" t="n">
        <v>113674</v>
      </c>
      <c r="D23" s="9" t="n">
        <v>135849</v>
      </c>
      <c r="E23" s="9" t="n">
        <v>131097</v>
      </c>
      <c r="F23" s="9" t="n">
        <v>155002</v>
      </c>
    </row>
    <row r="24" customFormat="false" ht="15" hidden="false" customHeight="false" outlineLevel="0" collapsed="false">
      <c r="A24" s="8" t="s">
        <v>22</v>
      </c>
      <c r="B24" s="9" t="n">
        <v>89645</v>
      </c>
      <c r="C24" s="9" t="n">
        <v>85163</v>
      </c>
      <c r="D24" s="9" t="n">
        <v>86933</v>
      </c>
      <c r="E24" s="9" t="n">
        <v>87300</v>
      </c>
      <c r="F24" s="9" t="n">
        <v>88900</v>
      </c>
    </row>
    <row r="25" customFormat="false" ht="15" hidden="false" customHeight="false" outlineLevel="0" collapsed="false">
      <c r="A25" s="8" t="s">
        <v>23</v>
      </c>
      <c r="B25" s="9" t="n">
        <v>204308</v>
      </c>
      <c r="C25" s="9" t="n">
        <v>220079</v>
      </c>
      <c r="D25" s="9" t="n">
        <v>249959</v>
      </c>
      <c r="E25" s="9" t="n">
        <v>232613</v>
      </c>
      <c r="F25" s="9" t="n">
        <v>211286</v>
      </c>
    </row>
    <row r="26" customFormat="false" ht="15" hidden="false" customHeight="false" outlineLevel="0" collapsed="false">
      <c r="A26" s="8" t="s">
        <v>24</v>
      </c>
      <c r="B26" s="9" t="n">
        <v>126636.2</v>
      </c>
      <c r="C26" s="9" t="n">
        <v>149517.4</v>
      </c>
      <c r="D26" s="9" t="n">
        <v>138810.4</v>
      </c>
      <c r="E26" s="9" t="n">
        <v>82354</v>
      </c>
      <c r="F26" s="9" t="n">
        <v>56453.3</v>
      </c>
    </row>
    <row r="27" customFormat="false" ht="15" hidden="false" customHeight="false" outlineLevel="0" collapsed="false">
      <c r="A27" s="8" t="s">
        <v>25</v>
      </c>
      <c r="B27" s="9" t="n">
        <v>226793.1</v>
      </c>
      <c r="C27" s="9" t="n">
        <v>252544.4</v>
      </c>
      <c r="D27" s="9" t="n">
        <v>291655</v>
      </c>
      <c r="E27" s="9" t="n">
        <v>241919.5</v>
      </c>
      <c r="F27" s="9" t="n">
        <v>279217.1</v>
      </c>
    </row>
    <row r="28" customFormat="false" ht="15" hidden="false" customHeight="false" outlineLevel="0" collapsed="false">
      <c r="A28" s="8" t="s">
        <v>26</v>
      </c>
      <c r="B28" s="9" t="n">
        <v>50150.7</v>
      </c>
      <c r="C28" s="9" t="n">
        <v>44843</v>
      </c>
      <c r="D28" s="9" t="n">
        <v>62290.8</v>
      </c>
      <c r="E28" s="9" t="n">
        <v>52791</v>
      </c>
      <c r="F28" s="9" t="n">
        <v>53472.5</v>
      </c>
    </row>
    <row r="29" customFormat="false" ht="15" hidden="false" customHeight="false" outlineLevel="0" collapsed="false">
      <c r="A29" s="8" t="s">
        <v>27</v>
      </c>
      <c r="B29" s="9" t="n">
        <v>31524.8</v>
      </c>
      <c r="C29" s="9" t="n">
        <v>38289.5</v>
      </c>
      <c r="D29" s="9" t="n">
        <v>30430.5</v>
      </c>
      <c r="E29" s="9" t="n">
        <v>48946</v>
      </c>
      <c r="F29" s="9" t="n">
        <v>41491.7</v>
      </c>
    </row>
    <row r="30" customFormat="false" ht="15" hidden="false" customHeight="false" outlineLevel="0" collapsed="false">
      <c r="A30" s="6" t="s">
        <v>28</v>
      </c>
      <c r="B30" s="10" t="n">
        <f aca="false">SUM(B20:B29)</f>
        <v>1111134.4</v>
      </c>
      <c r="C30" s="10" t="n">
        <f aca="false">SUM(C20:C29)</f>
        <v>1177915.7</v>
      </c>
      <c r="D30" s="10" t="n">
        <f aca="false">SUM(D20:D29)</f>
        <v>1299660.6</v>
      </c>
      <c r="E30" s="10" t="n">
        <f aca="false">SUM(E20:E29)</f>
        <v>1163611.8</v>
      </c>
      <c r="F30" s="10" t="n">
        <f aca="false">SUM(F20:F29)</f>
        <v>1169941.1</v>
      </c>
    </row>
    <row r="32" customFormat="false" ht="15" hidden="false" customHeight="false" outlineLevel="0" collapsed="false">
      <c r="A32" s="6" t="s">
        <v>30</v>
      </c>
    </row>
    <row r="33" customFormat="false" ht="15" hidden="false" customHeight="false" outlineLevel="0" collapsed="false">
      <c r="A33" s="7" t="s">
        <v>17</v>
      </c>
      <c r="B33" s="7" t="n">
        <v>2016</v>
      </c>
      <c r="C33" s="7" t="n">
        <v>2017</v>
      </c>
      <c r="D33" s="7" t="n">
        <v>2018</v>
      </c>
      <c r="E33" s="7" t="n">
        <v>2019</v>
      </c>
      <c r="F33" s="7" t="n">
        <v>2020</v>
      </c>
    </row>
    <row r="34" customFormat="false" ht="15" hidden="false" customHeight="false" outlineLevel="0" collapsed="false">
      <c r="A34" s="8" t="s">
        <v>18</v>
      </c>
      <c r="B34" s="11" t="n">
        <v>2.42</v>
      </c>
      <c r="C34" s="11" t="n">
        <v>2.3</v>
      </c>
      <c r="D34" s="11" t="n">
        <v>2.43</v>
      </c>
      <c r="E34" s="11" t="n">
        <v>2.26</v>
      </c>
      <c r="F34" s="11" t="n">
        <v>2.29</v>
      </c>
    </row>
    <row r="35" customFormat="false" ht="15" hidden="false" customHeight="false" outlineLevel="0" collapsed="false">
      <c r="A35" s="8" t="s">
        <v>19</v>
      </c>
      <c r="B35" s="11" t="n">
        <v>1.76</v>
      </c>
      <c r="C35" s="11" t="n">
        <v>2.32</v>
      </c>
      <c r="D35" s="11" t="n">
        <v>1.92</v>
      </c>
      <c r="E35" s="11" t="n">
        <v>1.9</v>
      </c>
      <c r="F35" s="11" t="n">
        <v>1.77</v>
      </c>
    </row>
    <row r="36" customFormat="false" ht="15" hidden="false" customHeight="false" outlineLevel="0" collapsed="false">
      <c r="A36" s="8" t="s">
        <v>20</v>
      </c>
      <c r="B36" s="11" t="n">
        <v>1.74</v>
      </c>
      <c r="C36" s="11" t="n">
        <v>1.47</v>
      </c>
      <c r="D36" s="11" t="n">
        <v>1.47</v>
      </c>
      <c r="E36" s="11" t="n">
        <v>1.13</v>
      </c>
      <c r="F36" s="11" t="n">
        <v>1.11</v>
      </c>
    </row>
    <row r="37" customFormat="false" ht="15" hidden="false" customHeight="false" outlineLevel="0" collapsed="false">
      <c r="A37" s="8" t="s">
        <v>21</v>
      </c>
      <c r="B37" s="11" t="n">
        <v>1.74</v>
      </c>
      <c r="C37" s="11" t="n">
        <v>1.73</v>
      </c>
      <c r="D37" s="11" t="n">
        <v>2.13</v>
      </c>
      <c r="E37" s="11" t="n">
        <v>1.87</v>
      </c>
      <c r="F37" s="11" t="n">
        <v>2.06</v>
      </c>
    </row>
    <row r="38" customFormat="false" ht="15" hidden="false" customHeight="false" outlineLevel="0" collapsed="false">
      <c r="A38" s="8" t="s">
        <v>22</v>
      </c>
      <c r="B38" s="11" t="n">
        <v>2.11</v>
      </c>
      <c r="C38" s="11" t="n">
        <v>2.24</v>
      </c>
      <c r="D38" s="11" t="n">
        <v>2.24</v>
      </c>
      <c r="E38" s="11" t="n">
        <v>2.9</v>
      </c>
      <c r="F38" s="11" t="n">
        <v>2.37</v>
      </c>
    </row>
    <row r="39" customFormat="false" ht="15" hidden="false" customHeight="false" outlineLevel="0" collapsed="false">
      <c r="A39" s="8" t="s">
        <v>23</v>
      </c>
      <c r="B39" s="11" t="n">
        <v>2.59</v>
      </c>
      <c r="C39" s="11" t="n">
        <v>2.53</v>
      </c>
      <c r="D39" s="11" t="n">
        <v>2.63</v>
      </c>
      <c r="E39" s="11" t="n">
        <v>2.62</v>
      </c>
      <c r="F39" s="11" t="n">
        <v>2.08</v>
      </c>
    </row>
    <row r="40" customFormat="false" ht="15" hidden="false" customHeight="false" outlineLevel="0" collapsed="false">
      <c r="A40" s="8" t="s">
        <v>24</v>
      </c>
      <c r="B40" s="11" t="n">
        <v>1.74</v>
      </c>
      <c r="C40" s="11" t="n">
        <v>1.5</v>
      </c>
      <c r="D40" s="11" t="n">
        <v>1.55</v>
      </c>
      <c r="E40" s="11" t="n">
        <v>1.36</v>
      </c>
      <c r="F40" s="11" t="n">
        <v>1.5</v>
      </c>
    </row>
    <row r="41" customFormat="false" ht="15" hidden="false" customHeight="false" outlineLevel="0" collapsed="false">
      <c r="A41" s="8" t="s">
        <v>25</v>
      </c>
      <c r="B41" s="11" t="n">
        <v>1.74</v>
      </c>
      <c r="C41" s="11" t="n">
        <v>1.26</v>
      </c>
      <c r="D41" s="11" t="n">
        <v>1.11</v>
      </c>
      <c r="E41" s="11" t="n">
        <v>1.37</v>
      </c>
      <c r="F41" s="11" t="n">
        <v>1.4</v>
      </c>
    </row>
    <row r="42" customFormat="false" ht="15" hidden="false" customHeight="false" outlineLevel="0" collapsed="false">
      <c r="A42" s="8" t="s">
        <v>26</v>
      </c>
      <c r="B42" s="11" t="n">
        <v>1.77</v>
      </c>
      <c r="C42" s="11" t="n">
        <v>1.33</v>
      </c>
      <c r="D42" s="11" t="n">
        <v>1.47</v>
      </c>
      <c r="E42" s="11" t="n">
        <v>1.92</v>
      </c>
      <c r="F42" s="11" t="n">
        <v>1.89</v>
      </c>
    </row>
    <row r="43" customFormat="false" ht="15" hidden="false" customHeight="false" outlineLevel="0" collapsed="false">
      <c r="A43" s="8" t="s">
        <v>27</v>
      </c>
      <c r="B43" s="11" t="n">
        <v>1.74</v>
      </c>
      <c r="C43" s="11" t="n">
        <v>1.47</v>
      </c>
      <c r="D43" s="11" t="n">
        <v>1.47</v>
      </c>
      <c r="E43" s="11" t="n">
        <v>1.24</v>
      </c>
      <c r="F43" s="11" t="n">
        <v>1.5</v>
      </c>
    </row>
    <row r="44" customFormat="false" ht="15" hidden="false" customHeight="false" outlineLevel="0" collapsed="false">
      <c r="A44" s="6" t="s">
        <v>31</v>
      </c>
      <c r="B44" s="12" t="n">
        <f aca="false">B16/B30</f>
        <v>1.97630520664287</v>
      </c>
      <c r="C44" s="12" t="n">
        <f aca="false">C16/C30</f>
        <v>1.8415800893052</v>
      </c>
      <c r="D44" s="12" t="n">
        <f aca="false">D16/D30</f>
        <v>1.84558699401982</v>
      </c>
      <c r="E44" s="12" t="n">
        <f aca="false">E16/E30</f>
        <v>1.90545927774194</v>
      </c>
      <c r="F44" s="12" t="n">
        <f aca="false">F16/F30</f>
        <v>1.78466856151989</v>
      </c>
    </row>
    <row r="46" customFormat="false" ht="43.25" hidden="false" customHeight="false" outlineLevel="0" collapsed="false">
      <c r="A46" s="1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6" t="s">
        <v>35</v>
      </c>
    </row>
    <row r="5" customFormat="false" ht="15" hidden="false" customHeight="false" outlineLevel="0" collapsed="false">
      <c r="A5" s="8" t="s">
        <v>36</v>
      </c>
      <c r="B5" s="14" t="n">
        <v>4000000</v>
      </c>
    </row>
    <row r="6" customFormat="false" ht="15" hidden="false" customHeight="false" outlineLevel="0" collapsed="false">
      <c r="A6" s="8" t="s">
        <v>37</v>
      </c>
      <c r="B6" s="14" t="n">
        <v>8000000</v>
      </c>
    </row>
    <row r="7" customFormat="false" ht="15" hidden="false" customHeight="false" outlineLevel="0" collapsed="false">
      <c r="A7" s="8" t="s">
        <v>38</v>
      </c>
      <c r="B7" s="15" t="n">
        <v>0.604</v>
      </c>
    </row>
    <row r="8" customFormat="false" ht="15" hidden="false" customHeight="false" outlineLevel="0" collapsed="false">
      <c r="A8" s="8" t="s">
        <v>39</v>
      </c>
      <c r="B8" s="15" t="n">
        <v>0.341</v>
      </c>
    </row>
    <row r="10" customFormat="false" ht="15" hidden="false" customHeight="false" outlineLevel="0" collapsed="false">
      <c r="A10" s="6" t="s">
        <v>40</v>
      </c>
    </row>
    <row r="11" customFormat="false" ht="15" hidden="false" customHeight="false" outlineLevel="0" collapsed="false">
      <c r="A11" s="7" t="s">
        <v>41</v>
      </c>
      <c r="B11" s="7" t="s">
        <v>42</v>
      </c>
    </row>
    <row r="12" customFormat="false" ht="15" hidden="false" customHeight="false" outlineLevel="0" collapsed="false">
      <c r="A12" s="8" t="n">
        <v>2020</v>
      </c>
      <c r="B12" s="9" t="n">
        <v>1985329.6</v>
      </c>
    </row>
    <row r="13" customFormat="false" ht="15" hidden="false" customHeight="false" outlineLevel="0" collapsed="false">
      <c r="A13" s="8" t="n">
        <v>2021</v>
      </c>
      <c r="B13" s="9" t="n">
        <v>2272849.78</v>
      </c>
    </row>
    <row r="14" customFormat="false" ht="15" hidden="false" customHeight="false" outlineLevel="0" collapsed="false">
      <c r="A14" s="8" t="n">
        <v>2022</v>
      </c>
      <c r="B14" s="9" t="n">
        <v>2002981.18</v>
      </c>
    </row>
    <row r="15" customFormat="false" ht="15" hidden="false" customHeight="false" outlineLevel="0" collapsed="false">
      <c r="A15" s="8" t="n">
        <v>2023</v>
      </c>
      <c r="B15" s="9" t="n">
        <v>2272470.09</v>
      </c>
    </row>
    <row r="16" customFormat="false" ht="15" hidden="false" customHeight="false" outlineLevel="0" collapsed="false">
      <c r="A16" s="8" t="n">
        <v>2024</v>
      </c>
      <c r="B16" s="9" t="n">
        <v>2360129</v>
      </c>
    </row>
    <row r="17" customFormat="false" ht="15" hidden="false" customHeight="false" outlineLevel="0" collapsed="false">
      <c r="A17" s="8" t="s">
        <v>43</v>
      </c>
      <c r="B17" s="16" t="n">
        <v>0.0442</v>
      </c>
    </row>
    <row r="19" customFormat="false" ht="15" hidden="false" customHeight="false" outlineLevel="0" collapsed="false">
      <c r="A19" s="6" t="s">
        <v>44</v>
      </c>
    </row>
    <row r="20" customFormat="false" ht="15" hidden="false" customHeight="false" outlineLevel="0" collapsed="false">
      <c r="A20" s="8" t="s">
        <v>45</v>
      </c>
      <c r="B20" s="8" t="s">
        <v>46</v>
      </c>
    </row>
    <row r="21" customFormat="false" ht="15" hidden="false" customHeight="false" outlineLevel="0" collapsed="false">
      <c r="A21" s="8" t="s">
        <v>47</v>
      </c>
      <c r="B21" s="8" t="s">
        <v>48</v>
      </c>
    </row>
    <row r="22" customFormat="false" ht="15" hidden="false" customHeight="false" outlineLevel="0" collapsed="false">
      <c r="A22" s="8" t="s">
        <v>49</v>
      </c>
      <c r="B22" s="8" t="s">
        <v>50</v>
      </c>
    </row>
    <row r="23" customFormat="false" ht="15" hidden="false" customHeight="false" outlineLevel="0" collapsed="false">
      <c r="A23" s="8" t="s">
        <v>51</v>
      </c>
      <c r="B23" s="8" t="s">
        <v>52</v>
      </c>
    </row>
    <row r="24" customFormat="false" ht="15" hidden="false" customHeight="false" outlineLevel="0" collapsed="false">
      <c r="A24" s="8" t="s">
        <v>53</v>
      </c>
      <c r="B24" s="8" t="s">
        <v>54</v>
      </c>
    </row>
    <row r="26" customFormat="false" ht="15" hidden="false" customHeight="false" outlineLevel="0" collapsed="false">
      <c r="A26" s="6" t="s">
        <v>55</v>
      </c>
    </row>
    <row r="27" customFormat="false" ht="15" hidden="false" customHeight="false" outlineLevel="0" collapsed="false">
      <c r="A27" s="8" t="s">
        <v>56</v>
      </c>
      <c r="B27" s="17" t="n">
        <v>2360129</v>
      </c>
    </row>
    <row r="28" customFormat="false" ht="15" hidden="false" customHeight="false" outlineLevel="0" collapsed="false">
      <c r="A28" s="8" t="s">
        <v>57</v>
      </c>
      <c r="B28" s="17" t="n">
        <v>8000000</v>
      </c>
    </row>
    <row r="29" customFormat="false" ht="15" hidden="false" customHeight="false" outlineLevel="0" collapsed="false">
      <c r="A29" s="6" t="s">
        <v>58</v>
      </c>
      <c r="B29" s="18" t="n">
        <f aca="false">B27-B28</f>
        <v>-5639871</v>
      </c>
    </row>
    <row r="30" customFormat="false" ht="15" hidden="false" customHeight="false" outlineLevel="0" collapsed="false">
      <c r="A30" s="6" t="s">
        <v>59</v>
      </c>
      <c r="B30" s="19" t="n">
        <f aca="false">8000000/2360129</f>
        <v>3.38964522701937</v>
      </c>
    </row>
    <row r="31" customFormat="false" ht="15" hidden="false" customHeight="false" outlineLevel="0" collapsed="false">
      <c r="A31" s="6" t="s">
        <v>60</v>
      </c>
      <c r="B31" s="20" t="n">
        <f aca="false">(8000000/2360129)^(1/6)-1</f>
        <v>0.22562903543995</v>
      </c>
    </row>
    <row r="33" customFormat="false" ht="15" hidden="false" customHeight="false" outlineLevel="0" collapsed="false">
      <c r="A33" s="6" t="s">
        <v>61</v>
      </c>
    </row>
    <row r="34" customFormat="false" ht="15" hidden="false" customHeight="false" outlineLevel="0" collapsed="false">
      <c r="A34" s="8" t="s">
        <v>62</v>
      </c>
    </row>
    <row r="35" customFormat="false" ht="15" hidden="false" customHeight="false" outlineLevel="0" collapsed="false">
      <c r="A35" s="8" t="s">
        <v>63</v>
      </c>
    </row>
    <row r="36" customFormat="false" ht="15" hidden="false" customHeight="false" outlineLevel="0" collapsed="false">
      <c r="A36" s="8" t="s">
        <v>64</v>
      </c>
    </row>
    <row r="37" customFormat="false" ht="15" hidden="false" customHeight="false" outlineLevel="0" collapsed="false">
      <c r="A37" s="8" t="s">
        <v>65</v>
      </c>
    </row>
    <row r="39" customFormat="false" ht="43.25" hidden="false" customHeight="false" outlineLevel="0" collapsed="false">
      <c r="A39" s="1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34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6" t="s">
        <v>69</v>
      </c>
    </row>
    <row r="5" customFormat="false" ht="15" hidden="false" customHeight="false" outlineLevel="0" collapsed="false">
      <c r="A5" s="8" t="s">
        <v>70</v>
      </c>
      <c r="B5" s="6" t="s">
        <v>71</v>
      </c>
      <c r="C5" s="21" t="s">
        <v>72</v>
      </c>
    </row>
    <row r="6" customFormat="false" ht="15" hidden="false" customHeight="false" outlineLevel="0" collapsed="false">
      <c r="A6" s="8" t="s">
        <v>73</v>
      </c>
      <c r="B6" s="6" t="s">
        <v>74</v>
      </c>
      <c r="C6" s="21" t="s">
        <v>75</v>
      </c>
    </row>
    <row r="7" customFormat="false" ht="15" hidden="false" customHeight="false" outlineLevel="0" collapsed="false">
      <c r="A7" s="8" t="s">
        <v>76</v>
      </c>
      <c r="B7" s="6" t="s">
        <v>77</v>
      </c>
      <c r="C7" s="21" t="s">
        <v>78</v>
      </c>
    </row>
    <row r="8" customFormat="false" ht="15" hidden="false" customHeight="false" outlineLevel="0" collapsed="false">
      <c r="A8" s="8" t="s">
        <v>79</v>
      </c>
      <c r="B8" s="6" t="s">
        <v>80</v>
      </c>
      <c r="C8" s="21" t="s">
        <v>81</v>
      </c>
    </row>
    <row r="9" customFormat="false" ht="15" hidden="false" customHeight="false" outlineLevel="0" collapsed="false">
      <c r="A9" s="8" t="s">
        <v>82</v>
      </c>
      <c r="B9" s="6" t="s">
        <v>83</v>
      </c>
      <c r="C9" s="21" t="s">
        <v>84</v>
      </c>
    </row>
    <row r="10" customFormat="false" ht="15" hidden="false" customHeight="false" outlineLevel="0" collapsed="false">
      <c r="A10" s="8" t="s">
        <v>85</v>
      </c>
      <c r="B10" s="6" t="s">
        <v>86</v>
      </c>
      <c r="C10" s="21" t="s">
        <v>87</v>
      </c>
    </row>
    <row r="12" customFormat="false" ht="15" hidden="false" customHeight="false" outlineLevel="0" collapsed="false">
      <c r="A12" s="6" t="s">
        <v>88</v>
      </c>
    </row>
    <row r="13" customFormat="false" ht="15" hidden="false" customHeight="false" outlineLevel="0" collapsed="false">
      <c r="A13" s="8" t="s">
        <v>89</v>
      </c>
      <c r="B13" s="6" t="s">
        <v>90</v>
      </c>
      <c r="C13" s="21" t="s">
        <v>75</v>
      </c>
    </row>
    <row r="14" customFormat="false" ht="15" hidden="false" customHeight="false" outlineLevel="0" collapsed="false">
      <c r="A14" s="8" t="s">
        <v>91</v>
      </c>
      <c r="B14" s="6" t="s">
        <v>92</v>
      </c>
      <c r="C14" s="21" t="s">
        <v>75</v>
      </c>
    </row>
    <row r="15" customFormat="false" ht="15" hidden="false" customHeight="false" outlineLevel="0" collapsed="false">
      <c r="A15" s="8" t="s">
        <v>93</v>
      </c>
      <c r="B15" s="6" t="s">
        <v>94</v>
      </c>
      <c r="C15" s="21" t="s">
        <v>95</v>
      </c>
    </row>
    <row r="16" customFormat="false" ht="15" hidden="false" customHeight="false" outlineLevel="0" collapsed="false">
      <c r="A16" s="8" t="s">
        <v>96</v>
      </c>
      <c r="B16" s="6" t="s">
        <v>97</v>
      </c>
      <c r="C16" s="21" t="s">
        <v>98</v>
      </c>
    </row>
    <row r="17" customFormat="false" ht="15" hidden="false" customHeight="false" outlineLevel="0" collapsed="false">
      <c r="A17" s="8" t="s">
        <v>99</v>
      </c>
      <c r="B17" s="6" t="s">
        <v>100</v>
      </c>
      <c r="C17" s="21" t="s">
        <v>98</v>
      </c>
    </row>
    <row r="19" customFormat="false" ht="15" hidden="false" customHeight="false" outlineLevel="0" collapsed="false">
      <c r="A19" s="6" t="s">
        <v>101</v>
      </c>
    </row>
    <row r="20" customFormat="false" ht="15" hidden="false" customHeight="false" outlineLevel="0" collapsed="false">
      <c r="A20" s="8" t="s">
        <v>102</v>
      </c>
      <c r="B20" s="6" t="s">
        <v>103</v>
      </c>
      <c r="C20" s="21" t="s">
        <v>104</v>
      </c>
    </row>
    <row r="21" customFormat="false" ht="15" hidden="false" customHeight="false" outlineLevel="0" collapsed="false">
      <c r="A21" s="8" t="s">
        <v>105</v>
      </c>
      <c r="B21" s="6" t="s">
        <v>106</v>
      </c>
      <c r="C21" s="21" t="s">
        <v>104</v>
      </c>
    </row>
    <row r="22" customFormat="false" ht="15" hidden="false" customHeight="false" outlineLevel="0" collapsed="false">
      <c r="A22" s="8" t="s">
        <v>107</v>
      </c>
      <c r="B22" s="6" t="s">
        <v>108</v>
      </c>
      <c r="C22" s="21" t="s">
        <v>98</v>
      </c>
    </row>
    <row r="23" customFormat="false" ht="15" hidden="false" customHeight="false" outlineLevel="0" collapsed="false">
      <c r="A23" s="8" t="s">
        <v>109</v>
      </c>
      <c r="B23" s="6" t="s">
        <v>110</v>
      </c>
      <c r="C23" s="21" t="s">
        <v>111</v>
      </c>
    </row>
    <row r="25" customFormat="false" ht="15" hidden="false" customHeight="false" outlineLevel="0" collapsed="false">
      <c r="A25" s="6" t="s">
        <v>112</v>
      </c>
    </row>
    <row r="26" customFormat="false" ht="15" hidden="false" customHeight="false" outlineLevel="0" collapsed="false">
      <c r="A26" s="8" t="s">
        <v>113</v>
      </c>
      <c r="B26" s="6" t="s">
        <v>114</v>
      </c>
      <c r="C26" s="21" t="s">
        <v>115</v>
      </c>
    </row>
    <row r="27" customFormat="false" ht="15" hidden="false" customHeight="false" outlineLevel="0" collapsed="false">
      <c r="A27" s="8" t="s">
        <v>116</v>
      </c>
      <c r="B27" s="6" t="s">
        <v>117</v>
      </c>
      <c r="C27" s="21" t="s">
        <v>98</v>
      </c>
    </row>
    <row r="28" customFormat="false" ht="15" hidden="false" customHeight="false" outlineLevel="0" collapsed="false">
      <c r="A28" s="8" t="s">
        <v>118</v>
      </c>
      <c r="B28" s="6" t="s">
        <v>119</v>
      </c>
      <c r="C28" s="21" t="s">
        <v>120</v>
      </c>
    </row>
    <row r="29" customFormat="false" ht="15" hidden="false" customHeight="false" outlineLevel="0" collapsed="false">
      <c r="A29" s="8" t="s">
        <v>121</v>
      </c>
      <c r="B29" s="6" t="s">
        <v>122</v>
      </c>
      <c r="C29" s="21" t="s">
        <v>123</v>
      </c>
    </row>
    <row r="30" customFormat="false" ht="15" hidden="false" customHeight="false" outlineLevel="0" collapsed="false">
      <c r="A30" s="8" t="s">
        <v>124</v>
      </c>
      <c r="B30" s="6" t="s">
        <v>125</v>
      </c>
      <c r="C30" s="21" t="s">
        <v>126</v>
      </c>
    </row>
    <row r="33" customFormat="false" ht="43.25" hidden="false" customHeight="false" outlineLevel="0" collapsed="false">
      <c r="A33" s="13" t="s">
        <v>127</v>
      </c>
    </row>
    <row r="34" customFormat="false" ht="32.8" hidden="false" customHeight="false" outlineLevel="0" collapsed="false">
      <c r="A34" s="13" t="s">
        <v>128</v>
      </c>
    </row>
    <row r="37" customFormat="false" ht="15" hidden="false" customHeight="false" outlineLevel="0" collapsed="false">
      <c r="A37" s="6" t="s">
        <v>129</v>
      </c>
    </row>
    <row r="38" customFormat="false" ht="15" hidden="false" customHeight="false" outlineLevel="0" collapsed="false">
      <c r="A38" s="8" t="s">
        <v>130</v>
      </c>
      <c r="B38" s="6" t="s">
        <v>131</v>
      </c>
      <c r="C38" s="21" t="s">
        <v>132</v>
      </c>
    </row>
    <row r="39" customFormat="false" ht="15" hidden="false" customHeight="false" outlineLevel="0" collapsed="false">
      <c r="A39" s="8" t="s">
        <v>133</v>
      </c>
      <c r="B39" s="6" t="s">
        <v>134</v>
      </c>
      <c r="C39" s="21" t="s">
        <v>132</v>
      </c>
    </row>
    <row r="40" customFormat="false" ht="15" hidden="false" customHeight="false" outlineLevel="0" collapsed="false">
      <c r="A40" s="8" t="s">
        <v>135</v>
      </c>
      <c r="B40" s="6" t="s">
        <v>136</v>
      </c>
      <c r="C40" s="21" t="s">
        <v>132</v>
      </c>
    </row>
    <row r="41" customFormat="false" ht="15" hidden="false" customHeight="false" outlineLevel="0" collapsed="false">
      <c r="A41" s="8" t="s">
        <v>137</v>
      </c>
      <c r="B41" s="6" t="s">
        <v>138</v>
      </c>
      <c r="C41" s="21" t="s">
        <v>98</v>
      </c>
    </row>
    <row r="42" customFormat="false" ht="15" hidden="false" customHeight="false" outlineLevel="0" collapsed="false">
      <c r="A42" s="8" t="s">
        <v>139</v>
      </c>
      <c r="B42" s="6" t="s">
        <v>140</v>
      </c>
      <c r="C42" s="21" t="s">
        <v>141</v>
      </c>
    </row>
    <row r="43" customFormat="false" ht="15" hidden="false" customHeight="false" outlineLevel="0" collapsed="false">
      <c r="A43" s="8" t="s">
        <v>142</v>
      </c>
      <c r="B43" s="6" t="s">
        <v>143</v>
      </c>
      <c r="C43" s="21" t="s">
        <v>144</v>
      </c>
    </row>
    <row r="44" customFormat="false" ht="15" hidden="false" customHeight="false" outlineLevel="0" collapsed="false">
      <c r="A44" s="8" t="s">
        <v>145</v>
      </c>
      <c r="B44" s="6" t="s">
        <v>146</v>
      </c>
      <c r="C44" s="21" t="s">
        <v>98</v>
      </c>
    </row>
    <row r="45" customFormat="false" ht="15" hidden="false" customHeight="false" outlineLevel="0" collapsed="false">
      <c r="A45" s="8" t="s">
        <v>147</v>
      </c>
      <c r="B45" s="6" t="s">
        <v>148</v>
      </c>
      <c r="C45" s="21" t="s">
        <v>98</v>
      </c>
    </row>
    <row r="47" customFormat="false" ht="15" hidden="false" customHeight="false" outlineLevel="0" collapsed="false">
      <c r="A47" s="6" t="s">
        <v>149</v>
      </c>
    </row>
    <row r="48" customFormat="false" ht="35.05" hidden="false" customHeight="false" outlineLevel="0" collapsed="false">
      <c r="A48" s="22" t="s">
        <v>150</v>
      </c>
    </row>
    <row r="49" customFormat="false" ht="15" hidden="false" customHeight="false" outlineLevel="0" collapsed="false">
      <c r="A49" s="23" t="s">
        <v>151</v>
      </c>
    </row>
    <row r="51" customFormat="false" ht="15" hidden="false" customHeight="false" outlineLevel="0" collapsed="false">
      <c r="A51" s="6" t="s">
        <v>152</v>
      </c>
    </row>
    <row r="52" customFormat="false" ht="15" hidden="false" customHeight="false" outlineLevel="0" collapsed="false">
      <c r="A52" s="8" t="s">
        <v>153</v>
      </c>
      <c r="B52" s="6" t="s">
        <v>154</v>
      </c>
      <c r="C52" s="21" t="s">
        <v>98</v>
      </c>
    </row>
    <row r="53" customFormat="false" ht="15" hidden="false" customHeight="false" outlineLevel="0" collapsed="false">
      <c r="A53" s="8" t="s">
        <v>155</v>
      </c>
      <c r="B53" s="6" t="s">
        <v>156</v>
      </c>
      <c r="C53" s="21" t="s">
        <v>98</v>
      </c>
    </row>
    <row r="54" customFormat="false" ht="15" hidden="false" customHeight="false" outlineLevel="0" collapsed="false">
      <c r="A54" s="8" t="s">
        <v>157</v>
      </c>
      <c r="B54" s="6" t="s">
        <v>158</v>
      </c>
      <c r="C54" s="21" t="s">
        <v>98</v>
      </c>
    </row>
    <row r="55" customFormat="false" ht="15" hidden="false" customHeight="false" outlineLevel="0" collapsed="false">
      <c r="A55" s="8" t="s">
        <v>159</v>
      </c>
      <c r="B55" s="6" t="s">
        <v>160</v>
      </c>
      <c r="C55" s="2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6"/>
  </cols>
  <sheetData>
    <row r="1" customFormat="false" ht="16.1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6" t="s">
        <v>163</v>
      </c>
    </row>
    <row r="5" customFormat="false" ht="23.85" hidden="false" customHeight="false" outlineLevel="0" collapsed="false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 customFormat="false" ht="15" hidden="false" customHeight="false" outlineLevel="0" collapsed="false">
      <c r="A6" s="24" t="s">
        <v>170</v>
      </c>
      <c r="B6" s="24" t="n">
        <v>233</v>
      </c>
      <c r="C6" s="24" t="n">
        <v>0.5</v>
      </c>
      <c r="D6" s="25" t="n">
        <v>5625504</v>
      </c>
      <c r="E6" s="26" t="n">
        <v>0.879</v>
      </c>
      <c r="F6" s="26" t="n">
        <v>0.703</v>
      </c>
    </row>
    <row r="7" customFormat="false" ht="15" hidden="false" customHeight="false" outlineLevel="0" collapsed="false">
      <c r="A7" s="24" t="s">
        <v>171</v>
      </c>
      <c r="B7" s="24" t="n">
        <v>370</v>
      </c>
      <c r="C7" s="24" t="n">
        <v>0.5</v>
      </c>
      <c r="D7" s="25" t="n">
        <v>6847267</v>
      </c>
      <c r="E7" s="26" t="n">
        <v>1.07</v>
      </c>
      <c r="F7" s="26" t="n">
        <v>0.856</v>
      </c>
    </row>
    <row r="8" customFormat="false" ht="15" hidden="false" customHeight="false" outlineLevel="0" collapsed="false">
      <c r="A8" s="24" t="s">
        <v>172</v>
      </c>
      <c r="B8" s="24" t="n">
        <v>507</v>
      </c>
      <c r="C8" s="24" t="n">
        <v>0.5</v>
      </c>
      <c r="D8" s="25" t="n">
        <v>7019652</v>
      </c>
      <c r="E8" s="26" t="n">
        <v>1.097</v>
      </c>
      <c r="F8" s="26" t="n">
        <v>0.877</v>
      </c>
    </row>
    <row r="9" customFormat="false" ht="15" hidden="false" customHeight="false" outlineLevel="0" collapsed="false">
      <c r="A9" s="24" t="s">
        <v>173</v>
      </c>
      <c r="B9" s="24" t="n">
        <v>507</v>
      </c>
      <c r="C9" s="24" t="n">
        <v>1</v>
      </c>
      <c r="D9" s="25" t="n">
        <v>9230742</v>
      </c>
      <c r="E9" s="26" t="n">
        <v>1.442</v>
      </c>
      <c r="F9" s="26" t="n">
        <v>1.154</v>
      </c>
    </row>
    <row r="12" customFormat="false" ht="15" hidden="false" customHeight="false" outlineLevel="0" collapsed="false">
      <c r="A12" s="6" t="s">
        <v>174</v>
      </c>
    </row>
    <row r="13" customFormat="false" ht="35.05" hidden="false" customHeight="false" outlineLevel="0" collapsed="false">
      <c r="A13" s="7" t="s">
        <v>17</v>
      </c>
      <c r="B13" s="7" t="s">
        <v>175</v>
      </c>
      <c r="C13" s="7" t="s">
        <v>176</v>
      </c>
      <c r="D13" s="7" t="s">
        <v>177</v>
      </c>
    </row>
    <row r="14" customFormat="false" ht="15" hidden="false" customHeight="false" outlineLevel="0" collapsed="false">
      <c r="A14" s="24" t="s">
        <v>18</v>
      </c>
      <c r="B14" s="27" t="n">
        <v>50968</v>
      </c>
      <c r="C14" s="27" t="n">
        <v>33518</v>
      </c>
      <c r="D14" s="25" t="n">
        <v>84486</v>
      </c>
    </row>
    <row r="15" customFormat="false" ht="15" hidden="false" customHeight="false" outlineLevel="0" collapsed="false">
      <c r="A15" s="24" t="s">
        <v>19</v>
      </c>
      <c r="B15" s="27" t="n">
        <v>129938</v>
      </c>
      <c r="C15" s="27" t="n">
        <v>64969</v>
      </c>
      <c r="D15" s="25" t="n">
        <v>194907</v>
      </c>
    </row>
    <row r="16" customFormat="false" ht="15" hidden="false" customHeight="false" outlineLevel="0" collapsed="false">
      <c r="A16" s="24" t="s">
        <v>20</v>
      </c>
      <c r="B16" s="27" t="n">
        <v>87144</v>
      </c>
      <c r="C16" s="27" t="n">
        <v>43572</v>
      </c>
      <c r="D16" s="25" t="n">
        <v>130716</v>
      </c>
    </row>
    <row r="17" customFormat="false" ht="15" hidden="false" customHeight="false" outlineLevel="0" collapsed="false">
      <c r="A17" s="24" t="s">
        <v>21</v>
      </c>
      <c r="B17" s="27" t="n">
        <v>155002</v>
      </c>
      <c r="C17" s="27" t="n">
        <v>77501</v>
      </c>
      <c r="D17" s="25" t="n">
        <v>232503</v>
      </c>
    </row>
    <row r="18" customFormat="false" ht="15" hidden="false" customHeight="false" outlineLevel="0" collapsed="false">
      <c r="A18" s="24" t="s">
        <v>22</v>
      </c>
      <c r="B18" s="27" t="n">
        <v>0</v>
      </c>
      <c r="C18" s="27" t="n">
        <v>44450</v>
      </c>
      <c r="D18" s="25" t="n">
        <v>44450</v>
      </c>
    </row>
    <row r="19" customFormat="false" ht="15" hidden="false" customHeight="false" outlineLevel="0" collapsed="false">
      <c r="A19" s="24" t="s">
        <v>23</v>
      </c>
      <c r="B19" s="27" t="n">
        <v>211286</v>
      </c>
      <c r="C19" s="27" t="n">
        <v>105643</v>
      </c>
      <c r="D19" s="25" t="n">
        <v>316929</v>
      </c>
    </row>
    <row r="20" customFormat="false" ht="15" hidden="false" customHeight="false" outlineLevel="0" collapsed="false">
      <c r="A20" s="24" t="s">
        <v>24</v>
      </c>
      <c r="B20" s="27" t="n">
        <v>56453</v>
      </c>
      <c r="C20" s="27" t="n">
        <v>28226</v>
      </c>
      <c r="D20" s="25" t="n">
        <v>84679</v>
      </c>
    </row>
    <row r="21" customFormat="false" ht="15" hidden="false" customHeight="false" outlineLevel="0" collapsed="false">
      <c r="A21" s="24" t="s">
        <v>25</v>
      </c>
      <c r="B21" s="27" t="n">
        <v>279217</v>
      </c>
      <c r="C21" s="27" t="n">
        <v>139608</v>
      </c>
      <c r="D21" s="25" t="n">
        <v>418825</v>
      </c>
    </row>
    <row r="22" customFormat="false" ht="15" hidden="false" customHeight="false" outlineLevel="0" collapsed="false">
      <c r="A22" s="24" t="s">
        <v>26</v>
      </c>
      <c r="B22" s="27" t="n">
        <v>53473</v>
      </c>
      <c r="C22" s="27" t="n">
        <v>26736</v>
      </c>
      <c r="D22" s="25" t="n">
        <v>80209</v>
      </c>
    </row>
    <row r="23" customFormat="false" ht="15" hidden="false" customHeight="false" outlineLevel="0" collapsed="false">
      <c r="A23" s="24" t="s">
        <v>27</v>
      </c>
      <c r="B23" s="27" t="n">
        <v>41492</v>
      </c>
      <c r="C23" s="27" t="n">
        <v>20746</v>
      </c>
      <c r="D23" s="25" t="n">
        <v>62238</v>
      </c>
    </row>
    <row r="26" customFormat="false" ht="429.1" hidden="false" customHeight="false" outlineLevel="0" collapsed="false">
      <c r="A26" s="13" t="s">
        <v>178</v>
      </c>
    </row>
    <row r="29" customFormat="false" ht="15" hidden="false" customHeight="false" outlineLevel="0" collapsed="false">
      <c r="A29" s="6" t="s">
        <v>179</v>
      </c>
    </row>
    <row r="30" customFormat="false" ht="23.85" hidden="false" customHeight="false" outlineLevel="0" collapsed="false">
      <c r="A30" s="7" t="s">
        <v>17</v>
      </c>
      <c r="B30" s="7" t="s">
        <v>180</v>
      </c>
      <c r="C30" s="7" t="s">
        <v>181</v>
      </c>
      <c r="D30" s="7" t="s">
        <v>182</v>
      </c>
    </row>
    <row r="31" customFormat="false" ht="15" hidden="false" customHeight="false" outlineLevel="0" collapsed="false">
      <c r="A31" s="24" t="s">
        <v>18</v>
      </c>
      <c r="B31" s="24" t="s">
        <v>183</v>
      </c>
      <c r="C31" s="11" t="n">
        <v>2.29</v>
      </c>
      <c r="D31" s="28" t="n">
        <v>4</v>
      </c>
    </row>
    <row r="32" customFormat="false" ht="15" hidden="false" customHeight="false" outlineLevel="0" collapsed="false">
      <c r="A32" s="24" t="s">
        <v>19</v>
      </c>
      <c r="B32" s="24" t="s">
        <v>184</v>
      </c>
      <c r="C32" s="11" t="n">
        <v>1.77</v>
      </c>
      <c r="D32" s="28" t="n">
        <v>4</v>
      </c>
    </row>
    <row r="33" customFormat="false" ht="15" hidden="false" customHeight="false" outlineLevel="0" collapsed="false">
      <c r="A33" s="24" t="s">
        <v>20</v>
      </c>
      <c r="B33" s="24" t="s">
        <v>184</v>
      </c>
      <c r="C33" s="11" t="n">
        <v>1.11</v>
      </c>
      <c r="D33" s="28" t="n">
        <v>4</v>
      </c>
    </row>
    <row r="34" customFormat="false" ht="15" hidden="false" customHeight="false" outlineLevel="0" collapsed="false">
      <c r="A34" s="24" t="s">
        <v>21</v>
      </c>
      <c r="B34" s="24" t="s">
        <v>185</v>
      </c>
      <c r="C34" s="11" t="n">
        <v>2.06</v>
      </c>
      <c r="D34" s="28" t="n">
        <v>3.5</v>
      </c>
    </row>
    <row r="35" customFormat="false" ht="15" hidden="false" customHeight="false" outlineLevel="0" collapsed="false">
      <c r="A35" s="24" t="s">
        <v>22</v>
      </c>
      <c r="B35" s="24" t="s">
        <v>186</v>
      </c>
      <c r="C35" s="11" t="n">
        <v>2.37</v>
      </c>
      <c r="D35" s="28" t="n">
        <v>3.5</v>
      </c>
    </row>
    <row r="36" customFormat="false" ht="15" hidden="false" customHeight="false" outlineLevel="0" collapsed="false">
      <c r="A36" s="24" t="s">
        <v>23</v>
      </c>
      <c r="B36" s="24" t="s">
        <v>185</v>
      </c>
      <c r="C36" s="11" t="n">
        <v>2.08</v>
      </c>
      <c r="D36" s="28" t="n">
        <v>3.5</v>
      </c>
    </row>
    <row r="37" customFormat="false" ht="15" hidden="false" customHeight="false" outlineLevel="0" collapsed="false">
      <c r="A37" s="24" t="s">
        <v>24</v>
      </c>
      <c r="B37" s="24" t="s">
        <v>187</v>
      </c>
      <c r="C37" s="11" t="n">
        <v>1.5</v>
      </c>
      <c r="D37" s="28" t="n">
        <v>4.5</v>
      </c>
    </row>
    <row r="38" customFormat="false" ht="15" hidden="false" customHeight="false" outlineLevel="0" collapsed="false">
      <c r="A38" s="24" t="s">
        <v>25</v>
      </c>
      <c r="B38" s="24" t="s">
        <v>187</v>
      </c>
      <c r="C38" s="11" t="n">
        <v>1.4</v>
      </c>
      <c r="D38" s="28" t="n">
        <v>4.5</v>
      </c>
    </row>
    <row r="39" customFormat="false" ht="15" hidden="false" customHeight="false" outlineLevel="0" collapsed="false">
      <c r="A39" s="24" t="s">
        <v>26</v>
      </c>
      <c r="B39" s="24" t="s">
        <v>184</v>
      </c>
      <c r="C39" s="11" t="n">
        <v>1.89</v>
      </c>
      <c r="D39" s="28" t="n">
        <v>4</v>
      </c>
    </row>
    <row r="40" customFormat="false" ht="15" hidden="false" customHeight="false" outlineLevel="0" collapsed="false">
      <c r="A40" s="24" t="s">
        <v>27</v>
      </c>
      <c r="B40" s="24" t="s">
        <v>186</v>
      </c>
      <c r="C40" s="11" t="n">
        <v>1.5</v>
      </c>
      <c r="D40" s="28" t="n">
        <v>3.5</v>
      </c>
    </row>
    <row r="43" customFormat="false" ht="15" hidden="false" customHeight="false" outlineLevel="0" collapsed="false">
      <c r="A43" s="6" t="s">
        <v>188</v>
      </c>
    </row>
    <row r="44" customFormat="false" ht="35.05" hidden="false" customHeight="false" outlineLevel="0" collapsed="false">
      <c r="A44" s="7" t="s">
        <v>189</v>
      </c>
      <c r="B44" s="7" t="s">
        <v>190</v>
      </c>
      <c r="C44" s="7" t="s">
        <v>191</v>
      </c>
      <c r="D44" s="7" t="s">
        <v>192</v>
      </c>
    </row>
    <row r="45" customFormat="false" ht="15" hidden="false" customHeight="false" outlineLevel="0" collapsed="false">
      <c r="A45" s="24" t="s">
        <v>193</v>
      </c>
      <c r="B45" s="27" t="n">
        <v>5625504</v>
      </c>
      <c r="C45" s="27" t="n">
        <v>5744653</v>
      </c>
      <c r="D45" s="29" t="n">
        <v>0.0211801467032998</v>
      </c>
    </row>
    <row r="46" customFormat="false" ht="15" hidden="false" customHeight="false" outlineLevel="0" collapsed="false">
      <c r="A46" s="24" t="s">
        <v>194</v>
      </c>
      <c r="B46" s="27" t="n">
        <v>6847267</v>
      </c>
      <c r="C46" s="27" t="n">
        <v>6775620</v>
      </c>
      <c r="D46" s="29" t="n">
        <v>-0.0104635908019944</v>
      </c>
    </row>
    <row r="47" customFormat="false" ht="15" hidden="false" customHeight="false" outlineLevel="0" collapsed="false">
      <c r="A47" s="24" t="s">
        <v>195</v>
      </c>
      <c r="B47" s="27" t="n">
        <v>7019652</v>
      </c>
      <c r="C47" s="27" t="n">
        <v>6898894</v>
      </c>
      <c r="D47" s="29" t="n">
        <v>-0.0172028470927049</v>
      </c>
    </row>
    <row r="50" customFormat="false" ht="189.55" hidden="false" customHeight="false" outlineLevel="0" collapsed="false">
      <c r="A50" s="13" t="s">
        <v>196</v>
      </c>
    </row>
    <row r="51" customFormat="false" ht="294" hidden="false" customHeight="false" outlineLevel="0" collapsed="false">
      <c r="A51" s="13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23.85" hidden="false" customHeight="false" outlineLevel="0" collapsed="false">
      <c r="A4" s="7" t="s">
        <v>17</v>
      </c>
      <c r="B4" s="7" t="s">
        <v>41</v>
      </c>
      <c r="C4" s="7" t="s">
        <v>200</v>
      </c>
      <c r="D4" s="7" t="s">
        <v>42</v>
      </c>
      <c r="E4" s="7" t="s">
        <v>201</v>
      </c>
      <c r="F4" s="7" t="s">
        <v>202</v>
      </c>
    </row>
    <row r="5" customFormat="false" ht="15" hidden="false" customHeight="false" outlineLevel="0" collapsed="false">
      <c r="A5" s="24" t="s">
        <v>18</v>
      </c>
      <c r="B5" s="24" t="n">
        <v>2016</v>
      </c>
      <c r="C5" s="9" t="n">
        <v>75276.5</v>
      </c>
      <c r="D5" s="9" t="n">
        <v>182245.5</v>
      </c>
      <c r="E5" s="11" t="n">
        <v>2.42</v>
      </c>
      <c r="F5" s="30" t="s">
        <v>203</v>
      </c>
    </row>
    <row r="6" customFormat="false" ht="15" hidden="false" customHeight="false" outlineLevel="0" collapsed="false">
      <c r="A6" s="24" t="s">
        <v>18</v>
      </c>
      <c r="B6" s="24" t="n">
        <v>2017</v>
      </c>
      <c r="C6" s="9" t="n">
        <v>73754.5</v>
      </c>
      <c r="D6" s="9" t="n">
        <v>169470.6</v>
      </c>
      <c r="E6" s="11" t="n">
        <v>2.3</v>
      </c>
      <c r="F6" s="30" t="s">
        <v>203</v>
      </c>
    </row>
    <row r="7" customFormat="false" ht="15" hidden="false" customHeight="false" outlineLevel="0" collapsed="false">
      <c r="A7" s="24" t="s">
        <v>18</v>
      </c>
      <c r="B7" s="24" t="n">
        <v>2018</v>
      </c>
      <c r="C7" s="9" t="n">
        <v>71427</v>
      </c>
      <c r="D7" s="9" t="n">
        <v>173609.6</v>
      </c>
      <c r="E7" s="11" t="n">
        <v>2.43</v>
      </c>
      <c r="F7" s="30" t="s">
        <v>203</v>
      </c>
    </row>
    <row r="8" customFormat="false" ht="15" hidden="false" customHeight="false" outlineLevel="0" collapsed="false">
      <c r="A8" s="24" t="s">
        <v>18</v>
      </c>
      <c r="B8" s="24" t="n">
        <v>2019</v>
      </c>
      <c r="C8" s="9" t="n">
        <v>72672</v>
      </c>
      <c r="D8" s="9" t="n">
        <v>164542</v>
      </c>
      <c r="E8" s="11" t="n">
        <v>2.26</v>
      </c>
      <c r="F8" s="30" t="s">
        <v>203</v>
      </c>
    </row>
    <row r="9" customFormat="false" ht="15" hidden="false" customHeight="false" outlineLevel="0" collapsed="false">
      <c r="A9" s="24" t="s">
        <v>18</v>
      </c>
      <c r="B9" s="24" t="n">
        <v>2020</v>
      </c>
      <c r="C9" s="9" t="n">
        <v>67037</v>
      </c>
      <c r="D9" s="9" t="n">
        <v>153225.5</v>
      </c>
      <c r="E9" s="11" t="n">
        <v>2.29</v>
      </c>
      <c r="F9" s="30" t="s">
        <v>203</v>
      </c>
    </row>
    <row r="10" customFormat="false" ht="15" hidden="false" customHeight="false" outlineLevel="0" collapsed="false">
      <c r="A10" s="24" t="s">
        <v>18</v>
      </c>
      <c r="B10" s="24" t="n">
        <v>2021</v>
      </c>
      <c r="C10" s="9" t="n">
        <v>66807</v>
      </c>
      <c r="D10" s="9" t="n">
        <v>151777</v>
      </c>
      <c r="E10" s="11" t="n">
        <v>2.27</v>
      </c>
      <c r="F10" s="30" t="s">
        <v>204</v>
      </c>
    </row>
    <row r="11" customFormat="false" ht="15" hidden="false" customHeight="false" outlineLevel="0" collapsed="false">
      <c r="A11" s="24" t="s">
        <v>18</v>
      </c>
      <c r="B11" s="24" t="n">
        <v>2022</v>
      </c>
      <c r="C11" s="9" t="n">
        <v>59663</v>
      </c>
      <c r="D11" s="9" t="n">
        <v>126758</v>
      </c>
      <c r="E11" s="11" t="n">
        <v>2.12</v>
      </c>
      <c r="F11" s="30" t="s">
        <v>204</v>
      </c>
    </row>
    <row r="12" customFormat="false" ht="15" hidden="false" customHeight="false" outlineLevel="0" collapsed="false">
      <c r="A12" s="24" t="s">
        <v>18</v>
      </c>
      <c r="B12" s="24" t="n">
        <v>2023</v>
      </c>
      <c r="C12" s="9" t="n">
        <v>66723</v>
      </c>
      <c r="D12" s="9" t="n">
        <v>157929</v>
      </c>
      <c r="E12" s="11" t="n">
        <v>2.37</v>
      </c>
      <c r="F12" s="30" t="s">
        <v>204</v>
      </c>
    </row>
    <row r="13" customFormat="false" ht="15" hidden="false" customHeight="false" outlineLevel="0" collapsed="false">
      <c r="A13" s="24" t="s">
        <v>19</v>
      </c>
      <c r="B13" s="24" t="n">
        <v>2016</v>
      </c>
      <c r="C13" s="9" t="n">
        <v>136925</v>
      </c>
      <c r="D13" s="9" t="n">
        <v>241549.1</v>
      </c>
      <c r="E13" s="11" t="n">
        <v>1.76</v>
      </c>
      <c r="F13" s="30" t="s">
        <v>203</v>
      </c>
    </row>
    <row r="14" customFormat="false" ht="15" hidden="false" customHeight="false" outlineLevel="0" collapsed="false">
      <c r="A14" s="24" t="s">
        <v>19</v>
      </c>
      <c r="B14" s="24" t="n">
        <v>2017</v>
      </c>
      <c r="C14" s="9" t="n">
        <v>118876</v>
      </c>
      <c r="D14" s="9" t="n">
        <v>275708</v>
      </c>
      <c r="E14" s="11" t="n">
        <v>2.32</v>
      </c>
      <c r="F14" s="30" t="s">
        <v>203</v>
      </c>
    </row>
    <row r="15" customFormat="false" ht="15" hidden="false" customHeight="false" outlineLevel="0" collapsed="false">
      <c r="A15" s="24" t="s">
        <v>19</v>
      </c>
      <c r="B15" s="24" t="n">
        <v>2018</v>
      </c>
      <c r="C15" s="9" t="n">
        <v>148580</v>
      </c>
      <c r="D15" s="9" t="n">
        <v>285001</v>
      </c>
      <c r="E15" s="11" t="n">
        <v>1.92</v>
      </c>
      <c r="F15" s="30" t="s">
        <v>203</v>
      </c>
    </row>
    <row r="16" customFormat="false" ht="15" hidden="false" customHeight="false" outlineLevel="0" collapsed="false">
      <c r="A16" s="24" t="s">
        <v>19</v>
      </c>
      <c r="B16" s="24" t="n">
        <v>2019</v>
      </c>
      <c r="C16" s="9" t="n">
        <v>124815.3</v>
      </c>
      <c r="D16" s="9" t="n">
        <v>237149</v>
      </c>
      <c r="E16" s="11" t="n">
        <v>1.9</v>
      </c>
      <c r="F16" s="30" t="s">
        <v>203</v>
      </c>
    </row>
    <row r="17" customFormat="false" ht="15" hidden="false" customHeight="false" outlineLevel="0" collapsed="false">
      <c r="A17" s="24" t="s">
        <v>19</v>
      </c>
      <c r="B17" s="24" t="n">
        <v>2020</v>
      </c>
      <c r="C17" s="9" t="n">
        <v>129937.5</v>
      </c>
      <c r="D17" s="9" t="n">
        <v>230086.8</v>
      </c>
      <c r="E17" s="11" t="n">
        <v>1.77</v>
      </c>
      <c r="F17" s="30" t="s">
        <v>203</v>
      </c>
    </row>
    <row r="18" customFormat="false" ht="15" hidden="false" customHeight="false" outlineLevel="0" collapsed="false">
      <c r="A18" s="24" t="s">
        <v>19</v>
      </c>
      <c r="B18" s="24" t="n">
        <v>2021</v>
      </c>
      <c r="C18" s="9" t="n">
        <v>146818</v>
      </c>
      <c r="D18" s="9" t="n">
        <v>259871</v>
      </c>
      <c r="E18" s="11" t="n">
        <v>1.77</v>
      </c>
      <c r="F18" s="30" t="s">
        <v>205</v>
      </c>
    </row>
    <row r="19" customFormat="false" ht="15" hidden="false" customHeight="false" outlineLevel="0" collapsed="false">
      <c r="A19" s="24" t="s">
        <v>19</v>
      </c>
      <c r="B19" s="24" t="n">
        <v>2022</v>
      </c>
      <c r="C19" s="9" t="n">
        <v>150763</v>
      </c>
      <c r="D19" s="9" t="n">
        <v>266851</v>
      </c>
      <c r="E19" s="11" t="n">
        <v>1.77</v>
      </c>
      <c r="F19" s="30" t="s">
        <v>205</v>
      </c>
    </row>
    <row r="20" customFormat="false" ht="15" hidden="false" customHeight="false" outlineLevel="0" collapsed="false">
      <c r="A20" s="24" t="s">
        <v>19</v>
      </c>
      <c r="B20" s="24" t="n">
        <v>2023</v>
      </c>
      <c r="C20" s="9" t="n">
        <v>159361</v>
      </c>
      <c r="D20" s="9" t="n">
        <v>282067</v>
      </c>
      <c r="E20" s="11" t="n">
        <v>1.77</v>
      </c>
      <c r="F20" s="30" t="s">
        <v>205</v>
      </c>
    </row>
    <row r="21" customFormat="false" ht="15" hidden="false" customHeight="false" outlineLevel="0" collapsed="false">
      <c r="A21" s="24" t="s">
        <v>20</v>
      </c>
      <c r="B21" s="24" t="n">
        <v>2016</v>
      </c>
      <c r="C21" s="9" t="n">
        <v>65995</v>
      </c>
      <c r="D21" s="9" t="n">
        <v>114909.5</v>
      </c>
      <c r="E21" s="11" t="n">
        <v>1.74</v>
      </c>
      <c r="F21" s="30" t="s">
        <v>203</v>
      </c>
    </row>
    <row r="22" customFormat="false" ht="15" hidden="false" customHeight="false" outlineLevel="0" collapsed="false">
      <c r="A22" s="24" t="s">
        <v>20</v>
      </c>
      <c r="B22" s="24" t="n">
        <v>2017</v>
      </c>
      <c r="C22" s="9" t="n">
        <v>81174.9</v>
      </c>
      <c r="D22" s="9" t="n">
        <v>119575.2</v>
      </c>
      <c r="E22" s="11" t="n">
        <v>1.47</v>
      </c>
      <c r="F22" s="30" t="s">
        <v>203</v>
      </c>
    </row>
    <row r="23" customFormat="false" ht="15" hidden="false" customHeight="false" outlineLevel="0" collapsed="false">
      <c r="A23" s="24" t="s">
        <v>20</v>
      </c>
      <c r="B23" s="24" t="n">
        <v>2018</v>
      </c>
      <c r="C23" s="9" t="n">
        <v>83725.9</v>
      </c>
      <c r="D23" s="9" t="n">
        <v>123333</v>
      </c>
      <c r="E23" s="11" t="n">
        <v>1.47</v>
      </c>
      <c r="F23" s="30" t="s">
        <v>203</v>
      </c>
    </row>
    <row r="24" customFormat="false" ht="15" hidden="false" customHeight="false" outlineLevel="0" collapsed="false">
      <c r="A24" s="24" t="s">
        <v>20</v>
      </c>
      <c r="B24" s="24" t="n">
        <v>2019</v>
      </c>
      <c r="C24" s="9" t="n">
        <v>89104</v>
      </c>
      <c r="D24" s="9" t="n">
        <v>100575.9</v>
      </c>
      <c r="E24" s="11" t="n">
        <v>1.13</v>
      </c>
      <c r="F24" s="30" t="s">
        <v>203</v>
      </c>
    </row>
    <row r="25" customFormat="false" ht="15" hidden="false" customHeight="false" outlineLevel="0" collapsed="false">
      <c r="A25" s="24" t="s">
        <v>20</v>
      </c>
      <c r="B25" s="24" t="n">
        <v>2020</v>
      </c>
      <c r="C25" s="9" t="n">
        <v>87144</v>
      </c>
      <c r="D25" s="9" t="n">
        <v>96804.7</v>
      </c>
      <c r="E25" s="11" t="n">
        <v>1.11</v>
      </c>
      <c r="F25" s="30" t="s">
        <v>203</v>
      </c>
    </row>
    <row r="26" customFormat="false" ht="15" hidden="false" customHeight="false" outlineLevel="0" collapsed="false">
      <c r="A26" s="24" t="s">
        <v>21</v>
      </c>
      <c r="B26" s="24" t="n">
        <v>2016</v>
      </c>
      <c r="C26" s="9" t="n">
        <v>103880.1</v>
      </c>
      <c r="D26" s="9" t="n">
        <v>180874.4</v>
      </c>
      <c r="E26" s="11" t="n">
        <v>1.74</v>
      </c>
      <c r="F26" s="30" t="s">
        <v>203</v>
      </c>
    </row>
    <row r="27" customFormat="false" ht="15" hidden="false" customHeight="false" outlineLevel="0" collapsed="false">
      <c r="A27" s="24" t="s">
        <v>21</v>
      </c>
      <c r="B27" s="24" t="n">
        <v>2017</v>
      </c>
      <c r="C27" s="9" t="n">
        <v>113674</v>
      </c>
      <c r="D27" s="9" t="n">
        <v>196391</v>
      </c>
      <c r="E27" s="11" t="n">
        <v>1.73</v>
      </c>
      <c r="F27" s="30" t="s">
        <v>203</v>
      </c>
    </row>
    <row r="28" customFormat="false" ht="15" hidden="false" customHeight="false" outlineLevel="0" collapsed="false">
      <c r="A28" s="24" t="s">
        <v>21</v>
      </c>
      <c r="B28" s="24" t="n">
        <v>2017</v>
      </c>
      <c r="C28" s="9" t="n">
        <v>113673.56</v>
      </c>
      <c r="D28" s="9" t="n">
        <v>196390.83</v>
      </c>
      <c r="E28" s="11" t="n">
        <v>1.73</v>
      </c>
      <c r="F28" s="30" t="s">
        <v>206</v>
      </c>
    </row>
    <row r="29" customFormat="false" ht="15" hidden="false" customHeight="false" outlineLevel="0" collapsed="false">
      <c r="A29" s="24" t="s">
        <v>21</v>
      </c>
      <c r="B29" s="24" t="n">
        <v>2018</v>
      </c>
      <c r="C29" s="9" t="n">
        <v>135849</v>
      </c>
      <c r="D29" s="9" t="n">
        <v>288883</v>
      </c>
      <c r="E29" s="11" t="n">
        <v>2.13</v>
      </c>
      <c r="F29" s="30" t="s">
        <v>203</v>
      </c>
    </row>
    <row r="30" customFormat="false" ht="15" hidden="false" customHeight="false" outlineLevel="0" collapsed="false">
      <c r="A30" s="24" t="s">
        <v>21</v>
      </c>
      <c r="B30" s="24" t="n">
        <v>2018</v>
      </c>
      <c r="C30" s="9" t="n">
        <v>134609</v>
      </c>
      <c r="D30" s="9" t="n">
        <v>288883</v>
      </c>
      <c r="E30" s="11" t="n">
        <v>2.15</v>
      </c>
      <c r="F30" s="30" t="s">
        <v>207</v>
      </c>
    </row>
    <row r="31" customFormat="false" ht="15" hidden="false" customHeight="false" outlineLevel="0" collapsed="false">
      <c r="A31" s="24" t="s">
        <v>21</v>
      </c>
      <c r="B31" s="24" t="n">
        <v>2019</v>
      </c>
      <c r="C31" s="9" t="n">
        <v>131097</v>
      </c>
      <c r="D31" s="9" t="n">
        <v>245218</v>
      </c>
      <c r="E31" s="11" t="n">
        <v>1.87</v>
      </c>
      <c r="F31" s="30" t="s">
        <v>203</v>
      </c>
    </row>
    <row r="32" customFormat="false" ht="15" hidden="false" customHeight="false" outlineLevel="0" collapsed="false">
      <c r="A32" s="24" t="s">
        <v>21</v>
      </c>
      <c r="B32" s="24" t="n">
        <v>2020</v>
      </c>
      <c r="C32" s="9" t="n">
        <v>155002</v>
      </c>
      <c r="D32" s="9" t="n">
        <v>319542</v>
      </c>
      <c r="E32" s="11" t="n">
        <v>2.06</v>
      </c>
      <c r="F32" s="30" t="s">
        <v>203</v>
      </c>
    </row>
    <row r="33" customFormat="false" ht="15" hidden="false" customHeight="false" outlineLevel="0" collapsed="false">
      <c r="A33" s="24" t="s">
        <v>22</v>
      </c>
      <c r="B33" s="24" t="n">
        <v>2016</v>
      </c>
      <c r="C33" s="9" t="n">
        <v>89645</v>
      </c>
      <c r="D33" s="9" t="n">
        <v>189322</v>
      </c>
      <c r="E33" s="11" t="n">
        <v>2.11</v>
      </c>
      <c r="F33" s="30" t="s">
        <v>203</v>
      </c>
    </row>
    <row r="34" customFormat="false" ht="15" hidden="false" customHeight="false" outlineLevel="0" collapsed="false">
      <c r="A34" s="24" t="s">
        <v>22</v>
      </c>
      <c r="B34" s="24" t="n">
        <v>2017</v>
      </c>
      <c r="C34" s="9" t="n">
        <v>85163</v>
      </c>
      <c r="D34" s="9" t="n">
        <v>190345</v>
      </c>
      <c r="E34" s="11" t="n">
        <v>2.24</v>
      </c>
      <c r="F34" s="30" t="s">
        <v>203</v>
      </c>
    </row>
    <row r="35" customFormat="false" ht="15" hidden="false" customHeight="false" outlineLevel="0" collapsed="false">
      <c r="A35" s="24" t="s">
        <v>22</v>
      </c>
      <c r="B35" s="24" t="n">
        <v>2018</v>
      </c>
      <c r="C35" s="9" t="n">
        <v>86933</v>
      </c>
      <c r="D35" s="9" t="n">
        <v>194300</v>
      </c>
      <c r="E35" s="11" t="n">
        <v>2.24</v>
      </c>
      <c r="F35" s="30" t="s">
        <v>203</v>
      </c>
    </row>
    <row r="36" customFormat="false" ht="15" hidden="false" customHeight="false" outlineLevel="0" collapsed="false">
      <c r="A36" s="24" t="s">
        <v>22</v>
      </c>
      <c r="B36" s="24" t="n">
        <v>2019</v>
      </c>
      <c r="C36" s="9" t="n">
        <v>87300</v>
      </c>
      <c r="D36" s="9" t="n">
        <v>253000</v>
      </c>
      <c r="E36" s="11" t="n">
        <v>2.9</v>
      </c>
      <c r="F36" s="30" t="s">
        <v>203</v>
      </c>
    </row>
    <row r="37" customFormat="false" ht="15" hidden="false" customHeight="false" outlineLevel="0" collapsed="false">
      <c r="A37" s="24" t="s">
        <v>22</v>
      </c>
      <c r="B37" s="24" t="n">
        <v>2020</v>
      </c>
      <c r="C37" s="9" t="n">
        <v>88900</v>
      </c>
      <c r="D37" s="9" t="n">
        <v>210500</v>
      </c>
      <c r="E37" s="11" t="n">
        <v>2.37</v>
      </c>
      <c r="F37" s="30" t="s">
        <v>203</v>
      </c>
    </row>
    <row r="38" customFormat="false" ht="15" hidden="false" customHeight="false" outlineLevel="0" collapsed="false">
      <c r="A38" s="24" t="s">
        <v>22</v>
      </c>
      <c r="B38" s="24" t="n">
        <v>2021</v>
      </c>
      <c r="C38" s="9" t="n">
        <v>89100</v>
      </c>
      <c r="D38" s="9" t="n">
        <v>213101</v>
      </c>
      <c r="E38" s="11" t="n">
        <v>2.39</v>
      </c>
      <c r="F38" s="30" t="s">
        <v>208</v>
      </c>
    </row>
    <row r="39" customFormat="false" ht="15" hidden="false" customHeight="false" outlineLevel="0" collapsed="false">
      <c r="A39" s="24" t="s">
        <v>22</v>
      </c>
      <c r="B39" s="24" t="n">
        <v>2022</v>
      </c>
      <c r="C39" s="9" t="n">
        <v>53200</v>
      </c>
      <c r="D39" s="9" t="n">
        <v>215000</v>
      </c>
      <c r="E39" s="11" t="n">
        <v>4.04</v>
      </c>
      <c r="F39" s="30" t="s">
        <v>208</v>
      </c>
    </row>
    <row r="40" customFormat="false" ht="15" hidden="false" customHeight="false" outlineLevel="0" collapsed="false">
      <c r="A40" s="24" t="s">
        <v>22</v>
      </c>
      <c r="B40" s="24" t="n">
        <v>2023</v>
      </c>
      <c r="C40" s="9" t="n">
        <v>47200</v>
      </c>
      <c r="D40" s="9" t="n">
        <v>190500</v>
      </c>
      <c r="E40" s="11" t="n">
        <v>4.04</v>
      </c>
      <c r="F40" s="30" t="s">
        <v>208</v>
      </c>
    </row>
    <row r="41" customFormat="false" ht="15" hidden="false" customHeight="false" outlineLevel="0" collapsed="false">
      <c r="A41" s="31" t="s">
        <v>23</v>
      </c>
      <c r="B41" s="31" t="n">
        <v>2014</v>
      </c>
      <c r="C41" s="32" t="n">
        <v>87293</v>
      </c>
      <c r="D41" s="32" t="n">
        <v>85922</v>
      </c>
      <c r="E41" s="33" t="n">
        <v>0.98</v>
      </c>
      <c r="F41" s="34" t="s">
        <v>209</v>
      </c>
    </row>
    <row r="42" customFormat="false" ht="15" hidden="false" customHeight="false" outlineLevel="0" collapsed="false">
      <c r="A42" s="24" t="s">
        <v>23</v>
      </c>
      <c r="B42" s="24" t="n">
        <v>2015</v>
      </c>
      <c r="C42" s="9" t="n">
        <v>175541</v>
      </c>
      <c r="D42" s="9" t="n">
        <v>489435</v>
      </c>
      <c r="E42" s="11" t="n">
        <v>2.79</v>
      </c>
      <c r="F42" s="30" t="s">
        <v>210</v>
      </c>
    </row>
    <row r="43" customFormat="false" ht="15" hidden="false" customHeight="false" outlineLevel="0" collapsed="false">
      <c r="A43" s="24" t="s">
        <v>23</v>
      </c>
      <c r="B43" s="24" t="n">
        <v>2016</v>
      </c>
      <c r="C43" s="9" t="n">
        <v>204308</v>
      </c>
      <c r="D43" s="9" t="n">
        <v>528201.8</v>
      </c>
      <c r="E43" s="11" t="n">
        <v>2.59</v>
      </c>
      <c r="F43" s="30" t="s">
        <v>203</v>
      </c>
    </row>
    <row r="44" customFormat="false" ht="15" hidden="false" customHeight="false" outlineLevel="0" collapsed="false">
      <c r="A44" s="24" t="s">
        <v>23</v>
      </c>
      <c r="B44" s="24" t="n">
        <v>2016</v>
      </c>
      <c r="C44" s="9" t="n">
        <v>204308</v>
      </c>
      <c r="D44" s="9" t="n">
        <v>528202</v>
      </c>
      <c r="E44" s="11" t="n">
        <v>2.59</v>
      </c>
      <c r="F44" s="30" t="s">
        <v>210</v>
      </c>
    </row>
    <row r="45" customFormat="false" ht="15" hidden="false" customHeight="false" outlineLevel="0" collapsed="false">
      <c r="A45" s="24" t="s">
        <v>23</v>
      </c>
      <c r="B45" s="24" t="n">
        <v>2017</v>
      </c>
      <c r="C45" s="9" t="n">
        <v>220079</v>
      </c>
      <c r="D45" s="9" t="n">
        <v>557240.5</v>
      </c>
      <c r="E45" s="11" t="n">
        <v>2.53</v>
      </c>
      <c r="F45" s="30" t="s">
        <v>203</v>
      </c>
    </row>
    <row r="46" customFormat="false" ht="15" hidden="false" customHeight="false" outlineLevel="0" collapsed="false">
      <c r="A46" s="24" t="s">
        <v>23</v>
      </c>
      <c r="B46" s="24" t="n">
        <v>2017</v>
      </c>
      <c r="C46" s="9" t="n">
        <v>220079</v>
      </c>
      <c r="D46" s="9" t="n">
        <v>557241</v>
      </c>
      <c r="E46" s="11" t="n">
        <v>2.53</v>
      </c>
      <c r="F46" s="30" t="s">
        <v>210</v>
      </c>
    </row>
    <row r="47" customFormat="false" ht="15" hidden="false" customHeight="false" outlineLevel="0" collapsed="false">
      <c r="A47" s="24" t="s">
        <v>23</v>
      </c>
      <c r="B47" s="24" t="n">
        <v>2018</v>
      </c>
      <c r="C47" s="9" t="n">
        <v>249959</v>
      </c>
      <c r="D47" s="9" t="n">
        <v>657031</v>
      </c>
      <c r="E47" s="11" t="n">
        <v>2.63</v>
      </c>
      <c r="F47" s="30" t="s">
        <v>203</v>
      </c>
    </row>
    <row r="48" customFormat="false" ht="15" hidden="false" customHeight="false" outlineLevel="0" collapsed="false">
      <c r="A48" s="24" t="s">
        <v>23</v>
      </c>
      <c r="B48" s="24" t="n">
        <v>2018</v>
      </c>
      <c r="C48" s="9" t="n">
        <v>249959</v>
      </c>
      <c r="D48" s="9" t="n">
        <v>657031</v>
      </c>
      <c r="E48" s="11" t="n">
        <v>2.63</v>
      </c>
      <c r="F48" s="30" t="s">
        <v>210</v>
      </c>
    </row>
    <row r="49" customFormat="false" ht="15" hidden="false" customHeight="false" outlineLevel="0" collapsed="false">
      <c r="A49" s="24" t="s">
        <v>23</v>
      </c>
      <c r="B49" s="24" t="n">
        <v>2019</v>
      </c>
      <c r="C49" s="9" t="n">
        <v>232613</v>
      </c>
      <c r="D49" s="9" t="n">
        <v>610446</v>
      </c>
      <c r="E49" s="11" t="n">
        <v>2.62</v>
      </c>
      <c r="F49" s="30" t="s">
        <v>203</v>
      </c>
    </row>
    <row r="50" customFormat="false" ht="15" hidden="false" customHeight="false" outlineLevel="0" collapsed="false">
      <c r="A50" s="24" t="s">
        <v>23</v>
      </c>
      <c r="B50" s="24" t="n">
        <v>2020</v>
      </c>
      <c r="C50" s="9" t="n">
        <v>211286</v>
      </c>
      <c r="D50" s="9" t="n">
        <v>438976.5</v>
      </c>
      <c r="E50" s="11" t="n">
        <v>2.08</v>
      </c>
      <c r="F50" s="30" t="s">
        <v>203</v>
      </c>
    </row>
    <row r="51" customFormat="false" ht="15" hidden="false" customHeight="false" outlineLevel="0" collapsed="false">
      <c r="A51" s="24" t="s">
        <v>24</v>
      </c>
      <c r="B51" s="24" t="n">
        <v>2007</v>
      </c>
      <c r="C51" s="24" t="s">
        <v>211</v>
      </c>
      <c r="D51" s="9" t="n">
        <v>127608</v>
      </c>
      <c r="E51" s="24" t="s">
        <v>211</v>
      </c>
      <c r="F51" s="30" t="s">
        <v>212</v>
      </c>
    </row>
    <row r="52" customFormat="false" ht="15" hidden="false" customHeight="false" outlineLevel="0" collapsed="false">
      <c r="A52" s="24" t="s">
        <v>24</v>
      </c>
      <c r="B52" s="24" t="n">
        <v>2008</v>
      </c>
      <c r="C52" s="24" t="s">
        <v>211</v>
      </c>
      <c r="D52" s="9" t="n">
        <v>137548</v>
      </c>
      <c r="E52" s="24" t="s">
        <v>211</v>
      </c>
      <c r="F52" s="30" t="s">
        <v>212</v>
      </c>
    </row>
    <row r="53" customFormat="false" ht="15" hidden="false" customHeight="false" outlineLevel="0" collapsed="false">
      <c r="A53" s="24" t="s">
        <v>24</v>
      </c>
      <c r="B53" s="24" t="n">
        <v>2009</v>
      </c>
      <c r="C53" s="24" t="s">
        <v>211</v>
      </c>
      <c r="D53" s="9" t="n">
        <v>153756</v>
      </c>
      <c r="E53" s="24" t="s">
        <v>211</v>
      </c>
      <c r="F53" s="30" t="s">
        <v>212</v>
      </c>
    </row>
    <row r="54" customFormat="false" ht="15" hidden="false" customHeight="false" outlineLevel="0" collapsed="false">
      <c r="A54" s="24" t="s">
        <v>24</v>
      </c>
      <c r="B54" s="24" t="n">
        <v>2010</v>
      </c>
      <c r="C54" s="24" t="s">
        <v>211</v>
      </c>
      <c r="D54" s="9" t="n">
        <v>176473</v>
      </c>
      <c r="E54" s="24" t="s">
        <v>211</v>
      </c>
      <c r="F54" s="30" t="s">
        <v>212</v>
      </c>
    </row>
    <row r="55" customFormat="false" ht="15" hidden="false" customHeight="false" outlineLevel="0" collapsed="false">
      <c r="A55" s="24" t="s">
        <v>24</v>
      </c>
      <c r="B55" s="24" t="n">
        <v>2011</v>
      </c>
      <c r="C55" s="24" t="s">
        <v>211</v>
      </c>
      <c r="D55" s="9" t="n">
        <v>164120</v>
      </c>
      <c r="E55" s="24" t="s">
        <v>211</v>
      </c>
      <c r="F55" s="30" t="s">
        <v>212</v>
      </c>
    </row>
    <row r="56" customFormat="false" ht="15" hidden="false" customHeight="false" outlineLevel="0" collapsed="false">
      <c r="A56" s="24" t="s">
        <v>24</v>
      </c>
      <c r="B56" s="24" t="n">
        <v>2012</v>
      </c>
      <c r="C56" s="24" t="s">
        <v>211</v>
      </c>
      <c r="D56" s="9" t="n">
        <v>158958</v>
      </c>
      <c r="E56" s="24" t="s">
        <v>211</v>
      </c>
      <c r="F56" s="30" t="s">
        <v>212</v>
      </c>
    </row>
    <row r="57" customFormat="false" ht="15" hidden="false" customHeight="false" outlineLevel="0" collapsed="false">
      <c r="A57" s="24" t="s">
        <v>24</v>
      </c>
      <c r="B57" s="24" t="n">
        <v>2013</v>
      </c>
      <c r="C57" s="24" t="s">
        <v>211</v>
      </c>
      <c r="D57" s="9" t="n">
        <v>207818</v>
      </c>
      <c r="E57" s="24" t="s">
        <v>211</v>
      </c>
      <c r="F57" s="30" t="s">
        <v>212</v>
      </c>
    </row>
    <row r="58" customFormat="false" ht="15" hidden="false" customHeight="false" outlineLevel="0" collapsed="false">
      <c r="A58" s="24" t="s">
        <v>24</v>
      </c>
      <c r="B58" s="24" t="n">
        <v>2014</v>
      </c>
      <c r="C58" s="24" t="s">
        <v>211</v>
      </c>
      <c r="D58" s="9" t="n">
        <v>238991</v>
      </c>
      <c r="E58" s="24" t="s">
        <v>211</v>
      </c>
      <c r="F58" s="30" t="s">
        <v>212</v>
      </c>
    </row>
    <row r="59" customFormat="false" ht="15" hidden="false" customHeight="false" outlineLevel="0" collapsed="false">
      <c r="A59" s="24" t="s">
        <v>24</v>
      </c>
      <c r="B59" s="24" t="n">
        <v>2015</v>
      </c>
      <c r="C59" s="24" t="s">
        <v>211</v>
      </c>
      <c r="D59" s="9" t="n">
        <v>274840</v>
      </c>
      <c r="E59" s="24" t="s">
        <v>211</v>
      </c>
      <c r="F59" s="30" t="s">
        <v>212</v>
      </c>
    </row>
    <row r="60" customFormat="false" ht="15" hidden="false" customHeight="false" outlineLevel="0" collapsed="false">
      <c r="A60" s="24" t="s">
        <v>24</v>
      </c>
      <c r="B60" s="24" t="n">
        <v>2016</v>
      </c>
      <c r="C60" s="9" t="n">
        <v>126636.2</v>
      </c>
      <c r="D60" s="9" t="n">
        <v>220496.9</v>
      </c>
      <c r="E60" s="11" t="n">
        <v>1.74</v>
      </c>
      <c r="F60" s="30" t="s">
        <v>203</v>
      </c>
    </row>
    <row r="61" customFormat="false" ht="15" hidden="false" customHeight="false" outlineLevel="0" collapsed="false">
      <c r="A61" s="24" t="s">
        <v>24</v>
      </c>
      <c r="B61" s="24" t="n">
        <v>2016</v>
      </c>
      <c r="C61" s="24" t="s">
        <v>211</v>
      </c>
      <c r="D61" s="9" t="n">
        <v>302324</v>
      </c>
      <c r="E61" s="24" t="s">
        <v>211</v>
      </c>
      <c r="F61" s="30" t="s">
        <v>212</v>
      </c>
    </row>
    <row r="62" customFormat="false" ht="15" hidden="false" customHeight="false" outlineLevel="0" collapsed="false">
      <c r="A62" s="24" t="s">
        <v>24</v>
      </c>
      <c r="B62" s="24" t="n">
        <v>2017</v>
      </c>
      <c r="C62" s="9" t="n">
        <v>149517.4</v>
      </c>
      <c r="D62" s="9" t="n">
        <v>224950.9</v>
      </c>
      <c r="E62" s="11" t="n">
        <v>1.5</v>
      </c>
      <c r="F62" s="30" t="s">
        <v>203</v>
      </c>
    </row>
    <row r="63" customFormat="false" ht="15" hidden="false" customHeight="false" outlineLevel="0" collapsed="false">
      <c r="A63" s="24" t="s">
        <v>24</v>
      </c>
      <c r="B63" s="24" t="n">
        <v>2018</v>
      </c>
      <c r="C63" s="9" t="n">
        <v>138810.4</v>
      </c>
      <c r="D63" s="9" t="n">
        <v>215727.9</v>
      </c>
      <c r="E63" s="11" t="n">
        <v>1.55</v>
      </c>
      <c r="F63" s="30" t="s">
        <v>203</v>
      </c>
    </row>
    <row r="64" customFormat="false" ht="15" hidden="false" customHeight="false" outlineLevel="0" collapsed="false">
      <c r="A64" s="24" t="s">
        <v>24</v>
      </c>
      <c r="B64" s="24" t="n">
        <v>2019</v>
      </c>
      <c r="C64" s="9" t="n">
        <v>82354</v>
      </c>
      <c r="D64" s="9" t="n">
        <v>112256</v>
      </c>
      <c r="E64" s="11" t="n">
        <v>1.36</v>
      </c>
      <c r="F64" s="30" t="s">
        <v>203</v>
      </c>
    </row>
    <row r="65" customFormat="false" ht="15" hidden="false" customHeight="false" outlineLevel="0" collapsed="false">
      <c r="A65" s="24" t="s">
        <v>24</v>
      </c>
      <c r="B65" s="24" t="n">
        <v>2020</v>
      </c>
      <c r="C65" s="9" t="n">
        <v>56453.3</v>
      </c>
      <c r="D65" s="9" t="n">
        <v>84680</v>
      </c>
      <c r="E65" s="11" t="n">
        <v>1.5</v>
      </c>
      <c r="F65" s="30" t="s">
        <v>203</v>
      </c>
    </row>
    <row r="66" customFormat="false" ht="15" hidden="false" customHeight="false" outlineLevel="0" collapsed="false">
      <c r="A66" s="24" t="s">
        <v>24</v>
      </c>
      <c r="B66" s="24" t="n">
        <v>2022</v>
      </c>
      <c r="C66" s="9" t="n">
        <v>126943.7</v>
      </c>
      <c r="D66" s="9" t="n">
        <v>140495.8</v>
      </c>
      <c r="E66" s="11" t="n">
        <v>1.11</v>
      </c>
      <c r="F66" s="30" t="s">
        <v>213</v>
      </c>
    </row>
    <row r="67" customFormat="false" ht="15" hidden="false" customHeight="false" outlineLevel="0" collapsed="false">
      <c r="A67" s="24" t="s">
        <v>24</v>
      </c>
      <c r="B67" s="24" t="n">
        <v>2023</v>
      </c>
      <c r="C67" s="9" t="n">
        <v>110869</v>
      </c>
      <c r="D67" s="9" t="n">
        <v>178131.8</v>
      </c>
      <c r="E67" s="11" t="n">
        <v>1.61</v>
      </c>
      <c r="F67" s="30" t="s">
        <v>214</v>
      </c>
    </row>
    <row r="68" customFormat="false" ht="15" hidden="false" customHeight="false" outlineLevel="0" collapsed="false">
      <c r="A68" s="24" t="s">
        <v>25</v>
      </c>
      <c r="B68" s="24" t="n">
        <v>2016</v>
      </c>
      <c r="C68" s="9" t="n">
        <v>226793.1</v>
      </c>
      <c r="D68" s="9" t="n">
        <v>394888.4</v>
      </c>
      <c r="E68" s="11" t="n">
        <v>1.74</v>
      </c>
      <c r="F68" s="30" t="s">
        <v>203</v>
      </c>
    </row>
    <row r="69" customFormat="false" ht="15" hidden="false" customHeight="false" outlineLevel="0" collapsed="false">
      <c r="A69" s="24" t="s">
        <v>25</v>
      </c>
      <c r="B69" s="24" t="n">
        <v>2017</v>
      </c>
      <c r="C69" s="9" t="n">
        <v>252544.4</v>
      </c>
      <c r="D69" s="9" t="n">
        <v>319468.4</v>
      </c>
      <c r="E69" s="11" t="n">
        <v>1.26</v>
      </c>
      <c r="F69" s="30" t="s">
        <v>203</v>
      </c>
    </row>
    <row r="70" customFormat="false" ht="15" hidden="false" customHeight="false" outlineLevel="0" collapsed="false">
      <c r="A70" s="24" t="s">
        <v>25</v>
      </c>
      <c r="B70" s="24" t="n">
        <v>2018</v>
      </c>
      <c r="C70" s="9" t="n">
        <v>291655</v>
      </c>
      <c r="D70" s="9" t="n">
        <v>324260.4</v>
      </c>
      <c r="E70" s="11" t="n">
        <v>1.11</v>
      </c>
      <c r="F70" s="30" t="s">
        <v>203</v>
      </c>
    </row>
    <row r="71" customFormat="false" ht="15" hidden="false" customHeight="false" outlineLevel="0" collapsed="false">
      <c r="A71" s="24" t="s">
        <v>25</v>
      </c>
      <c r="B71" s="24" t="n">
        <v>2019</v>
      </c>
      <c r="C71" s="9" t="n">
        <v>241919.5</v>
      </c>
      <c r="D71" s="9" t="n">
        <v>332073</v>
      </c>
      <c r="E71" s="11" t="n">
        <v>1.37</v>
      </c>
      <c r="F71" s="30" t="s">
        <v>203</v>
      </c>
    </row>
    <row r="72" customFormat="false" ht="15" hidden="false" customHeight="false" outlineLevel="0" collapsed="false">
      <c r="A72" s="24" t="s">
        <v>25</v>
      </c>
      <c r="B72" s="24" t="n">
        <v>2020</v>
      </c>
      <c r="C72" s="9" t="n">
        <v>279217.1</v>
      </c>
      <c r="D72" s="9" t="n">
        <v>390904</v>
      </c>
      <c r="E72" s="11" t="n">
        <v>1.4</v>
      </c>
      <c r="F72" s="30" t="s">
        <v>203</v>
      </c>
    </row>
    <row r="73" customFormat="false" ht="15" hidden="false" customHeight="false" outlineLevel="0" collapsed="false">
      <c r="A73" s="24" t="s">
        <v>25</v>
      </c>
      <c r="B73" s="24" t="n">
        <v>2021</v>
      </c>
      <c r="C73" s="9" t="n">
        <v>180195</v>
      </c>
      <c r="D73" s="9" t="n">
        <v>415575</v>
      </c>
      <c r="E73" s="11" t="n">
        <v>2.31</v>
      </c>
      <c r="F73" s="30" t="s">
        <v>215</v>
      </c>
    </row>
    <row r="74" customFormat="false" ht="15" hidden="false" customHeight="false" outlineLevel="0" collapsed="false">
      <c r="A74" s="24" t="s">
        <v>25</v>
      </c>
      <c r="B74" s="24" t="n">
        <v>2022</v>
      </c>
      <c r="C74" s="9" t="n">
        <v>240922</v>
      </c>
      <c r="D74" s="9" t="n">
        <v>355326</v>
      </c>
      <c r="E74" s="11" t="n">
        <v>1.47</v>
      </c>
      <c r="F74" s="30" t="s">
        <v>215</v>
      </c>
    </row>
    <row r="75" customFormat="false" ht="15" hidden="false" customHeight="false" outlineLevel="0" collapsed="false">
      <c r="A75" s="24" t="s">
        <v>25</v>
      </c>
      <c r="B75" s="24" t="n">
        <v>2023</v>
      </c>
      <c r="C75" s="9" t="n">
        <v>292505</v>
      </c>
      <c r="D75" s="9" t="n">
        <v>421417</v>
      </c>
      <c r="E75" s="11" t="n">
        <v>1.44</v>
      </c>
      <c r="F75" s="30" t="s">
        <v>215</v>
      </c>
    </row>
    <row r="76" customFormat="false" ht="15" hidden="false" customHeight="false" outlineLevel="0" collapsed="false">
      <c r="A76" s="24" t="s">
        <v>26</v>
      </c>
      <c r="B76" s="24" t="n">
        <v>2014</v>
      </c>
      <c r="C76" s="9" t="n">
        <v>43100</v>
      </c>
      <c r="D76" s="9" t="n">
        <v>73800</v>
      </c>
      <c r="E76" s="11" t="n">
        <v>1.71</v>
      </c>
      <c r="F76" s="30" t="s">
        <v>216</v>
      </c>
    </row>
    <row r="77" customFormat="false" ht="15" hidden="false" customHeight="false" outlineLevel="0" collapsed="false">
      <c r="A77" s="24" t="s">
        <v>26</v>
      </c>
      <c r="B77" s="24" t="n">
        <v>2015</v>
      </c>
      <c r="C77" s="9" t="n">
        <v>47410</v>
      </c>
      <c r="D77" s="9" t="n">
        <v>165935</v>
      </c>
      <c r="E77" s="11" t="n">
        <v>3.5</v>
      </c>
      <c r="F77" s="30" t="s">
        <v>216</v>
      </c>
    </row>
    <row r="78" customFormat="false" ht="15" hidden="false" customHeight="false" outlineLevel="0" collapsed="false">
      <c r="A78" s="24" t="s">
        <v>26</v>
      </c>
      <c r="B78" s="24" t="n">
        <v>2016</v>
      </c>
      <c r="C78" s="9" t="n">
        <v>50150.7</v>
      </c>
      <c r="D78" s="9" t="n">
        <v>88600</v>
      </c>
      <c r="E78" s="11" t="n">
        <v>1.77</v>
      </c>
      <c r="F78" s="30" t="s">
        <v>203</v>
      </c>
    </row>
    <row r="79" customFormat="false" ht="15" hidden="false" customHeight="false" outlineLevel="0" collapsed="false">
      <c r="A79" s="24" t="s">
        <v>26</v>
      </c>
      <c r="B79" s="24" t="n">
        <v>2016</v>
      </c>
      <c r="C79" s="9" t="n">
        <v>52151</v>
      </c>
      <c r="D79" s="9" t="n">
        <v>182528</v>
      </c>
      <c r="E79" s="11" t="n">
        <v>3.5</v>
      </c>
      <c r="F79" s="30" t="s">
        <v>216</v>
      </c>
    </row>
    <row r="80" customFormat="false" ht="15" hidden="false" customHeight="false" outlineLevel="0" collapsed="false">
      <c r="A80" s="24" t="s">
        <v>26</v>
      </c>
      <c r="B80" s="24" t="n">
        <v>2017</v>
      </c>
      <c r="C80" s="9" t="n">
        <v>44843</v>
      </c>
      <c r="D80" s="9" t="n">
        <v>59791</v>
      </c>
      <c r="E80" s="11" t="n">
        <v>1.33</v>
      </c>
      <c r="F80" s="30" t="s">
        <v>203</v>
      </c>
    </row>
    <row r="81" customFormat="false" ht="15" hidden="false" customHeight="false" outlineLevel="0" collapsed="false">
      <c r="A81" s="24" t="s">
        <v>26</v>
      </c>
      <c r="B81" s="24" t="n">
        <v>2018</v>
      </c>
      <c r="C81" s="9" t="n">
        <v>62290.8</v>
      </c>
      <c r="D81" s="9" t="n">
        <v>91757.9</v>
      </c>
      <c r="E81" s="11" t="n">
        <v>1.47</v>
      </c>
      <c r="F81" s="30" t="s">
        <v>203</v>
      </c>
    </row>
    <row r="82" customFormat="false" ht="15" hidden="false" customHeight="false" outlineLevel="0" collapsed="false">
      <c r="A82" s="24" t="s">
        <v>26</v>
      </c>
      <c r="B82" s="24" t="n">
        <v>2019</v>
      </c>
      <c r="C82" s="9" t="n">
        <v>52791</v>
      </c>
      <c r="D82" s="9" t="n">
        <v>101262</v>
      </c>
      <c r="E82" s="11" t="n">
        <v>1.92</v>
      </c>
      <c r="F82" s="30" t="s">
        <v>203</v>
      </c>
    </row>
    <row r="83" customFormat="false" ht="15" hidden="false" customHeight="false" outlineLevel="0" collapsed="false">
      <c r="A83" s="24" t="s">
        <v>26</v>
      </c>
      <c r="B83" s="24" t="n">
        <v>2020</v>
      </c>
      <c r="C83" s="9" t="n">
        <v>53472.5</v>
      </c>
      <c r="D83" s="9" t="n">
        <v>101000</v>
      </c>
      <c r="E83" s="11" t="n">
        <v>1.89</v>
      </c>
      <c r="F83" s="30" t="s">
        <v>203</v>
      </c>
    </row>
    <row r="84" customFormat="false" ht="15" hidden="false" customHeight="false" outlineLevel="0" collapsed="false">
      <c r="A84" s="24" t="s">
        <v>26</v>
      </c>
      <c r="B84" s="24" t="n">
        <v>2021</v>
      </c>
      <c r="C84" s="9" t="n">
        <v>54528</v>
      </c>
      <c r="D84" s="9" t="n">
        <v>103025</v>
      </c>
      <c r="E84" s="11" t="n">
        <v>1.89</v>
      </c>
      <c r="F84" s="30" t="s">
        <v>217</v>
      </c>
    </row>
    <row r="85" customFormat="false" ht="15" hidden="false" customHeight="false" outlineLevel="0" collapsed="false">
      <c r="A85" s="24" t="s">
        <v>26</v>
      </c>
      <c r="B85" s="24" t="n">
        <v>2022</v>
      </c>
      <c r="C85" s="9" t="n">
        <v>50901</v>
      </c>
      <c r="D85" s="9" t="n">
        <v>102073</v>
      </c>
      <c r="E85" s="11" t="n">
        <v>2.01</v>
      </c>
      <c r="F85" s="30" t="s">
        <v>217</v>
      </c>
    </row>
    <row r="86" customFormat="false" ht="15" hidden="false" customHeight="false" outlineLevel="0" collapsed="false">
      <c r="A86" s="24" t="s">
        <v>26</v>
      </c>
      <c r="B86" s="24" t="n">
        <v>2023</v>
      </c>
      <c r="C86" s="9" t="n">
        <v>60984</v>
      </c>
      <c r="D86" s="9" t="n">
        <v>109922</v>
      </c>
      <c r="E86" s="11" t="n">
        <v>1.8</v>
      </c>
      <c r="F86" s="30" t="s">
        <v>217</v>
      </c>
    </row>
    <row r="87" customFormat="false" ht="15" hidden="false" customHeight="false" outlineLevel="0" collapsed="false">
      <c r="A87" s="24" t="s">
        <v>27</v>
      </c>
      <c r="B87" s="24" t="n">
        <v>2016</v>
      </c>
      <c r="C87" s="9" t="n">
        <v>31524.8</v>
      </c>
      <c r="D87" s="9" t="n">
        <v>54853.1</v>
      </c>
      <c r="E87" s="11" t="n">
        <v>1.74</v>
      </c>
      <c r="F87" s="30" t="s">
        <v>203</v>
      </c>
    </row>
    <row r="88" customFormat="false" ht="15" hidden="false" customHeight="false" outlineLevel="0" collapsed="false">
      <c r="A88" s="24" t="s">
        <v>27</v>
      </c>
      <c r="B88" s="24" t="n">
        <v>2017</v>
      </c>
      <c r="C88" s="9" t="n">
        <v>38289.5</v>
      </c>
      <c r="D88" s="9" t="n">
        <v>56285.5</v>
      </c>
      <c r="E88" s="11" t="n">
        <v>1.47</v>
      </c>
      <c r="F88" s="30" t="s">
        <v>203</v>
      </c>
    </row>
    <row r="89" customFormat="false" ht="15" hidden="false" customHeight="false" outlineLevel="0" collapsed="false">
      <c r="A89" s="31" t="s">
        <v>27</v>
      </c>
      <c r="B89" s="31" t="n">
        <v>2017</v>
      </c>
      <c r="C89" s="32" t="n">
        <v>24423.2</v>
      </c>
      <c r="D89" s="32" t="n">
        <v>56285.5</v>
      </c>
      <c r="E89" s="33" t="n">
        <v>2.3</v>
      </c>
      <c r="F89" s="34" t="s">
        <v>218</v>
      </c>
    </row>
    <row r="90" customFormat="false" ht="15" hidden="false" customHeight="false" outlineLevel="0" collapsed="false">
      <c r="A90" s="24" t="s">
        <v>27</v>
      </c>
      <c r="B90" s="24" t="n">
        <v>2018</v>
      </c>
      <c r="C90" s="9" t="n">
        <v>30430.5</v>
      </c>
      <c r="D90" s="9" t="n">
        <v>44732.9</v>
      </c>
      <c r="E90" s="11" t="n">
        <v>1.47</v>
      </c>
      <c r="F90" s="30" t="s">
        <v>203</v>
      </c>
    </row>
    <row r="91" customFormat="false" ht="15" hidden="false" customHeight="false" outlineLevel="0" collapsed="false">
      <c r="A91" s="31" t="s">
        <v>27</v>
      </c>
      <c r="B91" s="31" t="n">
        <v>2018</v>
      </c>
      <c r="C91" s="32" t="n">
        <v>22003</v>
      </c>
      <c r="D91" s="32" t="n">
        <v>44732.9</v>
      </c>
      <c r="E91" s="33" t="n">
        <v>2.03</v>
      </c>
      <c r="F91" s="34" t="s">
        <v>218</v>
      </c>
    </row>
    <row r="92" customFormat="false" ht="15" hidden="false" customHeight="false" outlineLevel="0" collapsed="false">
      <c r="A92" s="24" t="s">
        <v>27</v>
      </c>
      <c r="B92" s="24" t="n">
        <v>2019</v>
      </c>
      <c r="C92" s="9" t="n">
        <v>48946</v>
      </c>
      <c r="D92" s="9" t="n">
        <v>60693</v>
      </c>
      <c r="E92" s="11" t="n">
        <v>1.24</v>
      </c>
      <c r="F92" s="30" t="s">
        <v>203</v>
      </c>
    </row>
    <row r="93" customFormat="false" ht="15" hidden="false" customHeight="false" outlineLevel="0" collapsed="false">
      <c r="A93" s="31" t="s">
        <v>27</v>
      </c>
      <c r="B93" s="31" t="n">
        <v>2019</v>
      </c>
      <c r="C93" s="32" t="n">
        <v>6542.75</v>
      </c>
      <c r="D93" s="32" t="n">
        <v>20144.6</v>
      </c>
      <c r="E93" s="33" t="n">
        <v>3.08</v>
      </c>
      <c r="F93" s="34" t="s">
        <v>218</v>
      </c>
    </row>
    <row r="94" customFormat="false" ht="15" hidden="false" customHeight="false" outlineLevel="0" collapsed="false">
      <c r="A94" s="24" t="s">
        <v>27</v>
      </c>
      <c r="B94" s="24" t="n">
        <v>2020</v>
      </c>
      <c r="C94" s="9" t="n">
        <v>41491.7</v>
      </c>
      <c r="D94" s="9" t="n">
        <v>62237.6</v>
      </c>
      <c r="E94" s="11" t="n">
        <v>1.5</v>
      </c>
      <c r="F94" s="30" t="s">
        <v>203</v>
      </c>
    </row>
    <row r="95" customFormat="false" ht="15" hidden="false" customHeight="false" outlineLevel="0" collapsed="false">
      <c r="A95" s="31" t="s">
        <v>27</v>
      </c>
      <c r="B95" s="31" t="n">
        <v>2020</v>
      </c>
      <c r="C95" s="32" t="n">
        <v>15520</v>
      </c>
      <c r="D95" s="32" t="n">
        <v>10698.3</v>
      </c>
      <c r="E95" s="33" t="n">
        <v>0.69</v>
      </c>
      <c r="F95" s="34" t="s">
        <v>218</v>
      </c>
    </row>
    <row r="96" customFormat="false" ht="15" hidden="false" customHeight="false" outlineLevel="0" collapsed="false">
      <c r="A96" s="24" t="s">
        <v>27</v>
      </c>
      <c r="B96" s="24" t="n">
        <v>2021</v>
      </c>
      <c r="C96" s="9" t="n">
        <v>28906.1</v>
      </c>
      <c r="D96" s="9" t="n">
        <v>66196.7</v>
      </c>
      <c r="E96" s="11" t="n">
        <v>2.29</v>
      </c>
      <c r="F96" s="30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"/>
  </cols>
  <sheetData>
    <row r="1" customFormat="false" ht="16.1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4" customFormat="false" ht="15" hidden="false" customHeight="false" outlineLevel="0" collapsed="false">
      <c r="A4" s="6" t="s">
        <v>222</v>
      </c>
    </row>
    <row r="5" customFormat="false" ht="15" hidden="false" customHeight="false" outlineLevel="0" collapsed="false">
      <c r="A5" s="2" t="s">
        <v>223</v>
      </c>
    </row>
    <row r="6" customFormat="false" ht="23.85" hidden="false" customHeight="false" outlineLevel="0" collapsed="false">
      <c r="A6" s="7" t="s">
        <v>224</v>
      </c>
      <c r="B6" s="7" t="s">
        <v>225</v>
      </c>
      <c r="C6" s="7" t="s">
        <v>226</v>
      </c>
      <c r="D6" s="7" t="s">
        <v>227</v>
      </c>
      <c r="E6" s="7" t="s">
        <v>228</v>
      </c>
      <c r="F6" s="7" t="s">
        <v>229</v>
      </c>
      <c r="G6" s="7" t="s">
        <v>230</v>
      </c>
      <c r="H6" s="7" t="s">
        <v>231</v>
      </c>
      <c r="I6" s="7" t="s">
        <v>232</v>
      </c>
      <c r="J6" s="7" t="s">
        <v>233</v>
      </c>
      <c r="K6" s="7" t="s">
        <v>234</v>
      </c>
      <c r="L6" s="7" t="s">
        <v>235</v>
      </c>
      <c r="M6" s="7" t="s">
        <v>236</v>
      </c>
    </row>
    <row r="7" customFormat="false" ht="15" hidden="false" customHeight="false" outlineLevel="0" collapsed="false">
      <c r="A7" s="8" t="s">
        <v>237</v>
      </c>
      <c r="B7" s="27" t="n">
        <v>9694</v>
      </c>
      <c r="C7" s="27" t="n">
        <v>24235</v>
      </c>
      <c r="D7" s="27" t="n">
        <v>9894</v>
      </c>
      <c r="E7" s="27" t="n">
        <v>21669</v>
      </c>
      <c r="F7" s="27" t="n">
        <v>8650</v>
      </c>
      <c r="G7" s="27" t="n">
        <v>17300</v>
      </c>
      <c r="H7" s="27" t="n">
        <v>4475</v>
      </c>
      <c r="I7" s="27" t="n">
        <v>9048</v>
      </c>
      <c r="J7" s="27" t="n">
        <v>5858</v>
      </c>
      <c r="K7" s="27" t="n">
        <v>8827</v>
      </c>
      <c r="L7" s="27" t="n">
        <v>7213</v>
      </c>
      <c r="M7" s="27" t="n">
        <v>10819</v>
      </c>
    </row>
    <row r="8" customFormat="false" ht="15" hidden="false" customHeight="false" outlineLevel="0" collapsed="false">
      <c r="A8" s="8" t="s">
        <v>238</v>
      </c>
      <c r="B8" s="27" t="n">
        <v>11111</v>
      </c>
      <c r="C8" s="27" t="n">
        <v>23142</v>
      </c>
      <c r="D8" s="27" t="n">
        <v>11171</v>
      </c>
      <c r="E8" s="27" t="n">
        <v>22426</v>
      </c>
      <c r="F8" s="27" t="n">
        <v>7047</v>
      </c>
      <c r="G8" s="27" t="n">
        <v>20393</v>
      </c>
      <c r="H8" s="27" t="n">
        <v>9435</v>
      </c>
      <c r="I8" s="27" t="n">
        <v>27120</v>
      </c>
      <c r="J8" s="27" t="n">
        <v>10387</v>
      </c>
      <c r="K8" s="27" t="n">
        <v>27153</v>
      </c>
      <c r="L8" s="27" t="n">
        <v>14395</v>
      </c>
      <c r="M8" s="27" t="n">
        <v>38786</v>
      </c>
    </row>
    <row r="9" customFormat="false" ht="15" hidden="false" customHeight="false" outlineLevel="0" collapsed="false">
      <c r="A9" s="8" t="s">
        <v>239</v>
      </c>
      <c r="B9" s="27" t="n">
        <v>17780</v>
      </c>
      <c r="C9" s="27" t="n">
        <v>30826</v>
      </c>
      <c r="D9" s="27" t="n">
        <v>20040</v>
      </c>
      <c r="E9" s="27" t="n">
        <v>34905</v>
      </c>
      <c r="F9" s="27" t="n">
        <v>19878</v>
      </c>
      <c r="G9" s="27" t="n">
        <v>36070</v>
      </c>
      <c r="H9" s="27" t="n">
        <v>20370</v>
      </c>
      <c r="I9" s="27" t="n">
        <v>38713</v>
      </c>
      <c r="J9" s="27" t="n">
        <v>15623</v>
      </c>
      <c r="K9" s="27" t="n">
        <v>27429</v>
      </c>
      <c r="L9" s="27" t="n">
        <v>17250</v>
      </c>
      <c r="M9" s="27" t="n">
        <v>36225</v>
      </c>
    </row>
    <row r="10" customFormat="false" ht="15" hidden="false" customHeight="false" outlineLevel="0" collapsed="false">
      <c r="A10" s="8" t="s">
        <v>240</v>
      </c>
      <c r="B10" s="27" t="n">
        <v>6401</v>
      </c>
      <c r="C10" s="27" t="n">
        <v>13094</v>
      </c>
      <c r="D10" s="27" t="n">
        <v>6240</v>
      </c>
      <c r="E10" s="27" t="n">
        <v>12696</v>
      </c>
      <c r="F10" s="27" t="n">
        <v>6856</v>
      </c>
      <c r="G10" s="27" t="n">
        <v>17171</v>
      </c>
      <c r="H10" s="27" t="n">
        <v>6686</v>
      </c>
      <c r="I10" s="27" t="n">
        <v>13415</v>
      </c>
      <c r="J10" s="27" t="n">
        <v>4108</v>
      </c>
      <c r="K10" s="27" t="n">
        <v>9006</v>
      </c>
      <c r="L10" s="27" t="n">
        <v>5853</v>
      </c>
      <c r="M10" s="27" t="n">
        <v>12877</v>
      </c>
    </row>
    <row r="11" customFormat="false" ht="15" hidden="false" customHeight="false" outlineLevel="0" collapsed="false">
      <c r="A11" s="8" t="s">
        <v>241</v>
      </c>
      <c r="B11" s="27" t="n">
        <v>21114</v>
      </c>
      <c r="C11" s="27" t="n">
        <v>76259</v>
      </c>
      <c r="D11" s="27" t="n">
        <v>25327</v>
      </c>
      <c r="E11" s="27" t="n">
        <v>72846</v>
      </c>
      <c r="F11" s="27" t="n">
        <v>24607</v>
      </c>
      <c r="G11" s="27" t="n">
        <v>68443</v>
      </c>
      <c r="H11" s="27" t="n">
        <v>25841</v>
      </c>
      <c r="I11" s="27" t="n">
        <v>63481</v>
      </c>
      <c r="J11" s="27" t="n">
        <v>23687</v>
      </c>
      <c r="K11" s="27" t="n">
        <v>58337</v>
      </c>
      <c r="L11" s="27" t="n">
        <v>22012</v>
      </c>
      <c r="M11" s="27" t="n">
        <v>59223</v>
      </c>
    </row>
    <row r="12" customFormat="false" ht="15" hidden="false" customHeight="false" outlineLevel="0" collapsed="false">
      <c r="A12" s="8" t="s">
        <v>242</v>
      </c>
      <c r="B12" s="27" t="n">
        <v>46406</v>
      </c>
      <c r="C12" s="27" t="n">
        <v>167556</v>
      </c>
      <c r="D12" s="27" t="n">
        <v>72671</v>
      </c>
      <c r="E12" s="27" t="n">
        <v>164542</v>
      </c>
      <c r="F12" s="27" t="n">
        <v>67037</v>
      </c>
      <c r="G12" s="27" t="n">
        <v>159376</v>
      </c>
      <c r="H12" s="27" t="n">
        <v>66807</v>
      </c>
      <c r="I12" s="27" t="n">
        <v>151777</v>
      </c>
      <c r="J12" s="27" t="n">
        <v>59663</v>
      </c>
      <c r="K12" s="27" t="n">
        <v>126758</v>
      </c>
      <c r="L12" s="27" t="n">
        <v>66723</v>
      </c>
      <c r="M12" s="27" t="n">
        <v>157929</v>
      </c>
    </row>
    <row r="15" customFormat="false" ht="15" hidden="false" customHeight="false" outlineLevel="0" collapsed="false">
      <c r="A15" s="6" t="s">
        <v>243</v>
      </c>
    </row>
    <row r="16" customFormat="false" ht="15" hidden="false" customHeight="false" outlineLevel="0" collapsed="false">
      <c r="A16" s="2" t="s">
        <v>244</v>
      </c>
    </row>
    <row r="17" customFormat="false" ht="23.85" hidden="false" customHeight="false" outlineLevel="0" collapsed="false">
      <c r="A17" s="7" t="s">
        <v>224</v>
      </c>
      <c r="B17" s="7" t="s">
        <v>231</v>
      </c>
      <c r="C17" s="7" t="s">
        <v>232</v>
      </c>
      <c r="D17" s="7" t="s">
        <v>233</v>
      </c>
      <c r="E17" s="7" t="s">
        <v>234</v>
      </c>
      <c r="F17" s="7" t="s">
        <v>235</v>
      </c>
      <c r="G17" s="7" t="s">
        <v>236</v>
      </c>
    </row>
    <row r="18" customFormat="false" ht="15" hidden="false" customHeight="false" outlineLevel="0" collapsed="false">
      <c r="A18" s="8" t="s">
        <v>245</v>
      </c>
      <c r="B18" s="27" t="n">
        <v>63024</v>
      </c>
      <c r="C18" s="27" t="n">
        <v>111552</v>
      </c>
      <c r="D18" s="27" t="n">
        <v>63080</v>
      </c>
      <c r="E18" s="27" t="n">
        <v>111652</v>
      </c>
      <c r="F18" s="27" t="n">
        <v>61845</v>
      </c>
      <c r="G18" s="27" t="n">
        <v>109465</v>
      </c>
    </row>
    <row r="19" customFormat="false" ht="15" hidden="false" customHeight="false" outlineLevel="0" collapsed="false">
      <c r="A19" s="8" t="s">
        <v>246</v>
      </c>
      <c r="B19" s="27" t="n">
        <v>14405</v>
      </c>
      <c r="C19" s="27" t="n">
        <v>25497</v>
      </c>
      <c r="D19" s="27" t="n">
        <v>11801</v>
      </c>
      <c r="E19" s="27" t="n">
        <v>20887</v>
      </c>
      <c r="F19" s="27" t="n">
        <v>15310</v>
      </c>
      <c r="G19" s="27" t="n">
        <v>27098</v>
      </c>
    </row>
    <row r="20" customFormat="false" ht="15" hidden="false" customHeight="false" outlineLevel="0" collapsed="false">
      <c r="A20" s="8" t="s">
        <v>247</v>
      </c>
      <c r="B20" s="27" t="n">
        <v>10233</v>
      </c>
      <c r="C20" s="27" t="n">
        <v>18113</v>
      </c>
      <c r="D20" s="27" t="n">
        <v>16690</v>
      </c>
      <c r="E20" s="27" t="n">
        <v>29542</v>
      </c>
      <c r="F20" s="27" t="n">
        <v>16479</v>
      </c>
      <c r="G20" s="27" t="n">
        <v>29168</v>
      </c>
    </row>
    <row r="21" customFormat="false" ht="15" hidden="false" customHeight="false" outlineLevel="0" collapsed="false">
      <c r="A21" s="8" t="s">
        <v>248</v>
      </c>
      <c r="B21" s="27" t="n">
        <v>39996</v>
      </c>
      <c r="C21" s="27" t="n">
        <v>70793</v>
      </c>
      <c r="D21" s="27" t="n">
        <v>40631</v>
      </c>
      <c r="E21" s="27" t="n">
        <v>71916</v>
      </c>
      <c r="F21" s="27" t="n">
        <v>45579</v>
      </c>
      <c r="G21" s="27" t="n">
        <v>80675</v>
      </c>
    </row>
    <row r="22" customFormat="false" ht="15" hidden="false" customHeight="false" outlineLevel="0" collapsed="false">
      <c r="A22" s="8" t="s">
        <v>249</v>
      </c>
      <c r="B22" s="27" t="n">
        <v>1412</v>
      </c>
      <c r="C22" s="27" t="n">
        <v>2500</v>
      </c>
      <c r="D22" s="27" t="n">
        <v>1977</v>
      </c>
      <c r="E22" s="27" t="n">
        <v>3500</v>
      </c>
      <c r="F22" s="27" t="n">
        <v>2013</v>
      </c>
      <c r="G22" s="27" t="n">
        <v>3563</v>
      </c>
    </row>
    <row r="23" customFormat="false" ht="15" hidden="false" customHeight="false" outlineLevel="0" collapsed="false">
      <c r="A23" s="8" t="s">
        <v>250</v>
      </c>
      <c r="B23" s="27" t="n">
        <v>3395</v>
      </c>
      <c r="C23" s="27" t="n">
        <v>6010</v>
      </c>
      <c r="D23" s="27" t="n">
        <v>1264</v>
      </c>
      <c r="E23" s="27" t="n">
        <v>2237</v>
      </c>
      <c r="F23" s="27" t="n">
        <v>3040</v>
      </c>
      <c r="G23" s="27" t="n">
        <v>5380</v>
      </c>
    </row>
    <row r="24" customFormat="false" ht="15" hidden="false" customHeight="false" outlineLevel="0" collapsed="false">
      <c r="A24" s="8" t="s">
        <v>251</v>
      </c>
      <c r="B24" s="27" t="n">
        <v>832</v>
      </c>
      <c r="C24" s="27" t="n">
        <v>1473</v>
      </c>
      <c r="D24" s="27" t="n">
        <v>608</v>
      </c>
      <c r="E24" s="27" t="n">
        <v>1077</v>
      </c>
      <c r="F24" s="27" t="n">
        <v>486</v>
      </c>
      <c r="G24" s="27" t="n">
        <v>861</v>
      </c>
    </row>
    <row r="25" customFormat="false" ht="15" hidden="false" customHeight="false" outlineLevel="0" collapsed="false">
      <c r="A25" s="8" t="s">
        <v>252</v>
      </c>
      <c r="B25" s="27" t="n">
        <v>5255</v>
      </c>
      <c r="C25" s="27" t="n">
        <v>9302</v>
      </c>
      <c r="D25" s="27" t="n">
        <v>6036</v>
      </c>
      <c r="E25" s="27" t="n">
        <v>10684</v>
      </c>
      <c r="F25" s="27" t="n">
        <v>5229</v>
      </c>
      <c r="G25" s="27" t="n">
        <v>9256</v>
      </c>
    </row>
    <row r="26" customFormat="false" ht="15" hidden="false" customHeight="false" outlineLevel="0" collapsed="false">
      <c r="A26" s="8" t="s">
        <v>253</v>
      </c>
      <c r="B26" s="27" t="n">
        <v>4782</v>
      </c>
      <c r="C26" s="27" t="n">
        <v>8464</v>
      </c>
      <c r="D26" s="27" t="n">
        <v>5192</v>
      </c>
      <c r="E26" s="27" t="n">
        <v>9189</v>
      </c>
      <c r="F26" s="27" t="n">
        <v>5575</v>
      </c>
      <c r="G26" s="27" t="n">
        <v>9867</v>
      </c>
    </row>
    <row r="27" customFormat="false" ht="15" hidden="false" customHeight="false" outlineLevel="0" collapsed="false">
      <c r="A27" s="8" t="s">
        <v>254</v>
      </c>
      <c r="B27" s="27" t="n">
        <v>3484</v>
      </c>
      <c r="C27" s="27" t="n">
        <v>6167</v>
      </c>
      <c r="D27" s="27" t="n">
        <v>3484</v>
      </c>
      <c r="E27" s="27" t="n">
        <v>6167</v>
      </c>
      <c r="F27" s="27" t="n">
        <v>3805</v>
      </c>
      <c r="G27" s="27" t="n">
        <v>6734</v>
      </c>
    </row>
    <row r="28" customFormat="false" ht="15" hidden="false" customHeight="false" outlineLevel="0" collapsed="false">
      <c r="A28" s="8" t="s">
        <v>255</v>
      </c>
      <c r="B28" s="27" t="n">
        <v>146818</v>
      </c>
      <c r="C28" s="27" t="n">
        <v>259871</v>
      </c>
      <c r="D28" s="27" t="n">
        <v>150763</v>
      </c>
      <c r="E28" s="27" t="n">
        <v>266851</v>
      </c>
      <c r="F28" s="27" t="n">
        <v>159361</v>
      </c>
      <c r="G28" s="27" t="n">
        <v>282067</v>
      </c>
    </row>
    <row r="31" customFormat="false" ht="15" hidden="false" customHeight="false" outlineLevel="0" collapsed="false">
      <c r="A31" s="6" t="s">
        <v>256</v>
      </c>
    </row>
    <row r="32" customFormat="false" ht="15" hidden="false" customHeight="false" outlineLevel="0" collapsed="false">
      <c r="A32" s="2" t="s">
        <v>257</v>
      </c>
    </row>
    <row r="33" customFormat="false" ht="23.85" hidden="false" customHeight="false" outlineLevel="0" collapsed="false">
      <c r="A33" s="7" t="s">
        <v>224</v>
      </c>
      <c r="B33" s="7" t="s">
        <v>227</v>
      </c>
      <c r="C33" s="7" t="s">
        <v>228</v>
      </c>
      <c r="D33" s="7" t="s">
        <v>229</v>
      </c>
      <c r="E33" s="7" t="s">
        <v>230</v>
      </c>
      <c r="F33" s="7" t="s">
        <v>231</v>
      </c>
      <c r="G33" s="7" t="s">
        <v>232</v>
      </c>
      <c r="H33" s="7" t="s">
        <v>233</v>
      </c>
      <c r="I33" s="7" t="s">
        <v>234</v>
      </c>
      <c r="J33" s="7" t="s">
        <v>235</v>
      </c>
      <c r="K33" s="7" t="s">
        <v>236</v>
      </c>
    </row>
    <row r="34" customFormat="false" ht="15" hidden="false" customHeight="false" outlineLevel="0" collapsed="false">
      <c r="A34" s="8" t="s">
        <v>258</v>
      </c>
      <c r="B34" s="27" t="n">
        <v>72337</v>
      </c>
      <c r="C34" s="27" t="n">
        <v>190944</v>
      </c>
      <c r="D34" s="27" t="n">
        <v>70465</v>
      </c>
      <c r="E34" s="27" t="n">
        <v>195008</v>
      </c>
      <c r="F34" s="27" t="n">
        <v>70623</v>
      </c>
      <c r="G34" s="27" t="n">
        <v>199519</v>
      </c>
      <c r="H34" s="27" t="n">
        <v>29360</v>
      </c>
      <c r="I34" s="27" t="n">
        <v>200118</v>
      </c>
      <c r="J34" s="27" t="n">
        <v>20810</v>
      </c>
      <c r="K34" s="27" t="n">
        <v>156958</v>
      </c>
    </row>
    <row r="35" customFormat="false" ht="15" hidden="false" customHeight="false" outlineLevel="0" collapsed="false">
      <c r="A35" s="8" t="s">
        <v>259</v>
      </c>
      <c r="B35" s="27" t="n">
        <v>1243</v>
      </c>
      <c r="C35" s="27" t="n">
        <v>2298</v>
      </c>
      <c r="D35" s="27" t="n">
        <v>1990</v>
      </c>
      <c r="E35" s="27" t="n">
        <v>2526</v>
      </c>
      <c r="F35" s="27" t="n">
        <v>1994</v>
      </c>
      <c r="G35" s="27" t="n">
        <v>2215</v>
      </c>
      <c r="H35" s="27" t="n">
        <v>3138</v>
      </c>
      <c r="I35" s="27" t="n">
        <v>4204</v>
      </c>
      <c r="J35" s="27" t="n">
        <v>2500</v>
      </c>
      <c r="K35" s="27" t="n">
        <v>3200</v>
      </c>
    </row>
    <row r="36" customFormat="false" ht="15" hidden="false" customHeight="false" outlineLevel="0" collapsed="false">
      <c r="A36" s="8" t="s">
        <v>260</v>
      </c>
      <c r="B36" s="27" t="n">
        <v>13529</v>
      </c>
      <c r="C36" s="27" t="n">
        <v>11725</v>
      </c>
      <c r="D36" s="27" t="n">
        <v>16270</v>
      </c>
      <c r="E36" s="27" t="n">
        <v>12628</v>
      </c>
      <c r="F36" s="27" t="n">
        <v>16307</v>
      </c>
      <c r="G36" s="27" t="n">
        <v>11073</v>
      </c>
      <c r="H36" s="27" t="n">
        <v>20112</v>
      </c>
      <c r="I36" s="27" t="n">
        <v>10100</v>
      </c>
      <c r="J36" s="27" t="n">
        <v>20112</v>
      </c>
      <c r="K36" s="27" t="n">
        <v>25805</v>
      </c>
    </row>
    <row r="37" customFormat="false" ht="15" hidden="false" customHeight="false" outlineLevel="0" collapsed="false">
      <c r="A37" s="8" t="s">
        <v>261</v>
      </c>
      <c r="B37" s="27" t="n">
        <v>191</v>
      </c>
      <c r="C37" s="27" t="n">
        <v>332</v>
      </c>
      <c r="D37" s="27" t="n">
        <v>176</v>
      </c>
      <c r="E37" s="27" t="n">
        <v>338</v>
      </c>
      <c r="F37" s="27" t="n">
        <v>176</v>
      </c>
      <c r="G37" s="27" t="n">
        <v>294</v>
      </c>
      <c r="H37" s="27" t="n">
        <v>590</v>
      </c>
      <c r="I37" s="27" t="n">
        <v>578</v>
      </c>
      <c r="J37" s="27" t="n">
        <v>3778</v>
      </c>
      <c r="K37" s="27" t="n">
        <v>4537</v>
      </c>
    </row>
    <row r="38" customFormat="false" ht="15" hidden="false" customHeight="false" outlineLevel="0" collapsed="false">
      <c r="A38" s="8" t="s">
        <v>262</v>
      </c>
      <c r="B38" s="27" t="n">
        <v>87300</v>
      </c>
      <c r="C38" s="27" t="n">
        <v>205299</v>
      </c>
      <c r="D38" s="27" t="n">
        <v>88901</v>
      </c>
      <c r="E38" s="27" t="n">
        <v>210500</v>
      </c>
      <c r="F38" s="27" t="n">
        <v>89100</v>
      </c>
      <c r="G38" s="27" t="n">
        <v>213101</v>
      </c>
      <c r="H38" s="27" t="n">
        <v>53200</v>
      </c>
      <c r="I38" s="27" t="n">
        <v>215000</v>
      </c>
      <c r="J38" s="27" t="n">
        <v>47200</v>
      </c>
      <c r="K38" s="27" t="n">
        <v>190500</v>
      </c>
    </row>
    <row r="41" customFormat="false" ht="15" hidden="false" customHeight="false" outlineLevel="0" collapsed="false">
      <c r="A41" s="6" t="s">
        <v>263</v>
      </c>
    </row>
    <row r="42" customFormat="false" ht="15" hidden="false" customHeight="false" outlineLevel="0" collapsed="false">
      <c r="A42" s="2" t="s">
        <v>264</v>
      </c>
    </row>
    <row r="43" customFormat="false" ht="23.85" hidden="false" customHeight="false" outlineLevel="0" collapsed="false">
      <c r="A43" s="7" t="s">
        <v>224</v>
      </c>
      <c r="B43" s="7" t="s">
        <v>233</v>
      </c>
      <c r="C43" s="7" t="s">
        <v>234</v>
      </c>
      <c r="D43" s="7" t="s">
        <v>235</v>
      </c>
      <c r="E43" s="7" t="s">
        <v>236</v>
      </c>
    </row>
    <row r="44" customFormat="false" ht="15" hidden="false" customHeight="false" outlineLevel="0" collapsed="false">
      <c r="A44" s="8" t="s">
        <v>265</v>
      </c>
      <c r="B44" s="27" t="n">
        <v>12653.55</v>
      </c>
      <c r="C44" s="27" t="n">
        <v>15184.26</v>
      </c>
      <c r="D44" s="27" t="n">
        <v>13390</v>
      </c>
      <c r="E44" s="27" t="n">
        <v>20617.2</v>
      </c>
    </row>
    <row r="45" customFormat="false" ht="15" hidden="false" customHeight="false" outlineLevel="0" collapsed="false">
      <c r="A45" s="8" t="s">
        <v>266</v>
      </c>
      <c r="B45" s="27" t="n">
        <v>44.982</v>
      </c>
      <c r="C45" s="27" t="n">
        <v>26989.2</v>
      </c>
      <c r="D45" s="27" t="n">
        <v>29397</v>
      </c>
      <c r="E45" s="27" t="n">
        <v>49974.9</v>
      </c>
    </row>
    <row r="46" customFormat="false" ht="15" hidden="false" customHeight="false" outlineLevel="0" collapsed="false">
      <c r="A46" s="8" t="s">
        <v>267</v>
      </c>
      <c r="B46" s="27" t="n">
        <v>17760.24</v>
      </c>
      <c r="C46" s="27" t="n">
        <v>26640.36</v>
      </c>
      <c r="D46" s="27" t="n">
        <v>19345</v>
      </c>
      <c r="E46" s="27" t="n">
        <v>29017.5</v>
      </c>
    </row>
    <row r="47" customFormat="false" ht="15" hidden="false" customHeight="false" outlineLevel="0" collapsed="false">
      <c r="A47" s="8" t="s">
        <v>268</v>
      </c>
      <c r="B47" s="27" t="n">
        <v>15074.675</v>
      </c>
      <c r="C47" s="27" t="n">
        <v>27134.415</v>
      </c>
      <c r="D47" s="27" t="n">
        <v>16339</v>
      </c>
      <c r="E47" s="27" t="n">
        <v>29410.2</v>
      </c>
    </row>
    <row r="48" customFormat="false" ht="15" hidden="false" customHeight="false" outlineLevel="0" collapsed="false">
      <c r="A48" s="8" t="s">
        <v>269</v>
      </c>
      <c r="B48" s="27" t="n">
        <v>21271.194</v>
      </c>
      <c r="C48" s="27" t="n">
        <v>21271.194</v>
      </c>
      <c r="D48" s="27" t="n">
        <v>15840</v>
      </c>
      <c r="E48" s="27" t="n">
        <v>23760</v>
      </c>
    </row>
    <row r="49" customFormat="false" ht="15" hidden="false" customHeight="false" outlineLevel="0" collapsed="false">
      <c r="A49" s="8" t="s">
        <v>270</v>
      </c>
      <c r="B49" s="27" t="n">
        <v>6417.84</v>
      </c>
      <c r="C49" s="27" t="n">
        <v>8343.192</v>
      </c>
      <c r="D49" s="27" t="n">
        <v>6990</v>
      </c>
      <c r="E49" s="27" t="n">
        <v>9087</v>
      </c>
    </row>
    <row r="50" customFormat="false" ht="15" hidden="false" customHeight="false" outlineLevel="0" collapsed="false">
      <c r="A50" s="8" t="s">
        <v>271</v>
      </c>
      <c r="B50" s="27" t="n">
        <v>8784.24</v>
      </c>
      <c r="C50" s="27" t="n">
        <v>14933.208</v>
      </c>
      <c r="D50" s="27" t="n">
        <v>9568</v>
      </c>
      <c r="E50" s="27" t="n">
        <v>16265</v>
      </c>
    </row>
    <row r="51" customFormat="false" ht="15" hidden="false" customHeight="false" outlineLevel="0" collapsed="false">
      <c r="A51" s="8" t="s">
        <v>272</v>
      </c>
      <c r="B51" s="27" t="n">
        <v>126943.7</v>
      </c>
      <c r="C51" s="27" t="n">
        <v>140495.8</v>
      </c>
      <c r="D51" s="27" t="n">
        <v>110869</v>
      </c>
      <c r="E51" s="27" t="n">
        <v>178131.8</v>
      </c>
    </row>
    <row r="54" customFormat="false" ht="15" hidden="false" customHeight="false" outlineLevel="0" collapsed="false">
      <c r="A54" s="6" t="s">
        <v>273</v>
      </c>
    </row>
    <row r="55" customFormat="false" ht="15" hidden="false" customHeight="false" outlineLevel="0" collapsed="false">
      <c r="A55" s="2" t="s">
        <v>274</v>
      </c>
    </row>
    <row r="56" customFormat="false" ht="23.85" hidden="false" customHeight="false" outlineLevel="0" collapsed="false">
      <c r="A56" s="7" t="s">
        <v>224</v>
      </c>
      <c r="B56" s="7" t="s">
        <v>225</v>
      </c>
      <c r="C56" s="7" t="s">
        <v>226</v>
      </c>
    </row>
    <row r="57" customFormat="false" ht="15" hidden="false" customHeight="false" outlineLevel="0" collapsed="false">
      <c r="A57" s="8" t="s">
        <v>275</v>
      </c>
      <c r="B57" s="27" t="n">
        <v>35366</v>
      </c>
      <c r="C57" s="27" t="n">
        <v>76981</v>
      </c>
    </row>
    <row r="58" customFormat="false" ht="15" hidden="false" customHeight="false" outlineLevel="0" collapsed="false">
      <c r="A58" s="8" t="s">
        <v>276</v>
      </c>
      <c r="B58" s="27" t="n">
        <v>12260</v>
      </c>
      <c r="C58" s="27" t="n">
        <v>30650</v>
      </c>
    </row>
    <row r="59" customFormat="false" ht="15" hidden="false" customHeight="false" outlineLevel="0" collapsed="false">
      <c r="A59" s="8" t="s">
        <v>277</v>
      </c>
      <c r="B59" s="27" t="n">
        <v>87132</v>
      </c>
      <c r="C59" s="27" t="n">
        <v>261397</v>
      </c>
    </row>
    <row r="60" customFormat="false" ht="15" hidden="false" customHeight="false" outlineLevel="0" collapsed="false">
      <c r="A60" s="8" t="s">
        <v>278</v>
      </c>
      <c r="B60" s="27" t="n">
        <v>115201</v>
      </c>
      <c r="C60" s="27" t="n">
        <v>288003</v>
      </c>
    </row>
    <row r="61" customFormat="false" ht="15" hidden="false" customHeight="false" outlineLevel="0" collapsed="false">
      <c r="A61" s="8" t="s">
        <v>279</v>
      </c>
      <c r="B61" s="27" t="n">
        <v>249959</v>
      </c>
      <c r="C61" s="27" t="n">
        <v>657031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7" t="s">
        <v>17</v>
      </c>
      <c r="B4" s="7" t="n">
        <v>2016</v>
      </c>
      <c r="C4" s="7" t="n">
        <v>2017</v>
      </c>
      <c r="D4" s="7" t="n">
        <v>2018</v>
      </c>
      <c r="E4" s="7" t="n">
        <v>2019</v>
      </c>
      <c r="F4" s="7" t="n">
        <v>2020</v>
      </c>
    </row>
    <row r="5" customFormat="false" ht="15" hidden="false" customHeight="false" outlineLevel="0" collapsed="false">
      <c r="A5" s="8" t="s">
        <v>18</v>
      </c>
      <c r="B5" s="9" t="n">
        <v>68.6</v>
      </c>
      <c r="C5" s="9" t="s">
        <v>282</v>
      </c>
      <c r="D5" s="9" t="n">
        <v>56.5</v>
      </c>
      <c r="E5" s="9" t="n">
        <v>55.1</v>
      </c>
      <c r="F5" s="9" t="n">
        <v>73.3</v>
      </c>
    </row>
    <row r="6" customFormat="false" ht="15" hidden="false" customHeight="false" outlineLevel="0" collapsed="false">
      <c r="A6" s="8" t="s">
        <v>19</v>
      </c>
      <c r="B6" s="9" t="s">
        <v>282</v>
      </c>
      <c r="C6" s="9" t="n">
        <v>75.5</v>
      </c>
      <c r="D6" s="9" t="s">
        <v>282</v>
      </c>
      <c r="E6" s="9" t="n">
        <v>53.5</v>
      </c>
      <c r="F6" s="9" t="s">
        <v>282</v>
      </c>
    </row>
    <row r="7" customFormat="false" ht="15" hidden="false" customHeight="false" outlineLevel="0" collapsed="false">
      <c r="A7" s="8" t="s">
        <v>20</v>
      </c>
      <c r="B7" s="9" t="s">
        <v>282</v>
      </c>
      <c r="C7" s="9" t="s">
        <v>282</v>
      </c>
      <c r="D7" s="9" t="s">
        <v>282</v>
      </c>
      <c r="E7" s="9" t="n">
        <v>18</v>
      </c>
      <c r="F7" s="9" t="s">
        <v>282</v>
      </c>
    </row>
    <row r="8" customFormat="false" ht="15" hidden="false" customHeight="false" outlineLevel="0" collapsed="false">
      <c r="A8" s="8" t="s">
        <v>21</v>
      </c>
      <c r="B8" s="9" t="s">
        <v>282</v>
      </c>
      <c r="C8" s="9" t="n">
        <v>23</v>
      </c>
      <c r="D8" s="9" t="n">
        <v>35.9</v>
      </c>
      <c r="E8" s="9" t="s">
        <v>282</v>
      </c>
      <c r="F8" s="9" t="s">
        <v>282</v>
      </c>
    </row>
    <row r="9" customFormat="false" ht="15" hidden="false" customHeight="false" outlineLevel="0" collapsed="false">
      <c r="A9" s="8" t="s">
        <v>22</v>
      </c>
      <c r="B9" s="9" t="s">
        <v>282</v>
      </c>
      <c r="C9" s="9" t="s">
        <v>282</v>
      </c>
      <c r="D9" s="9" t="n">
        <v>25</v>
      </c>
      <c r="E9" s="9" t="n">
        <v>18</v>
      </c>
      <c r="F9" s="9" t="n">
        <v>11.5</v>
      </c>
    </row>
    <row r="10" customFormat="false" ht="15" hidden="false" customHeight="false" outlineLevel="0" collapsed="false">
      <c r="A10" s="8" t="s">
        <v>23</v>
      </c>
      <c r="B10" s="9" t="s">
        <v>282</v>
      </c>
      <c r="C10" s="9" t="s">
        <v>282</v>
      </c>
      <c r="D10" s="9" t="s">
        <v>282</v>
      </c>
      <c r="E10" s="9" t="s">
        <v>282</v>
      </c>
      <c r="F10" s="9" t="s">
        <v>282</v>
      </c>
    </row>
    <row r="11" customFormat="false" ht="15" hidden="false" customHeight="false" outlineLevel="0" collapsed="false">
      <c r="A11" s="8" t="s">
        <v>24</v>
      </c>
      <c r="B11" s="9" t="s">
        <v>282</v>
      </c>
      <c r="C11" s="9" t="n">
        <v>275.1</v>
      </c>
      <c r="D11" s="9" t="n">
        <v>431</v>
      </c>
      <c r="E11" s="9" t="n">
        <v>86.5</v>
      </c>
      <c r="F11" s="9" t="s">
        <v>282</v>
      </c>
    </row>
    <row r="12" customFormat="false" ht="15" hidden="false" customHeight="false" outlineLevel="0" collapsed="false">
      <c r="A12" s="8" t="s">
        <v>25</v>
      </c>
      <c r="B12" s="9" t="s">
        <v>282</v>
      </c>
      <c r="C12" s="9" t="n">
        <v>30.7</v>
      </c>
      <c r="D12" s="9" t="n">
        <v>32</v>
      </c>
      <c r="E12" s="9" t="n">
        <v>31.2</v>
      </c>
      <c r="F12" s="9" t="n">
        <v>5.3</v>
      </c>
    </row>
    <row r="13" customFormat="false" ht="15" hidden="false" customHeight="false" outlineLevel="0" collapsed="false">
      <c r="A13" s="8" t="s">
        <v>26</v>
      </c>
      <c r="B13" s="9" t="s">
        <v>282</v>
      </c>
      <c r="C13" s="9" t="s">
        <v>282</v>
      </c>
      <c r="D13" s="9" t="s">
        <v>282</v>
      </c>
      <c r="E13" s="9" t="n">
        <v>10.9</v>
      </c>
      <c r="F13" s="9" t="n">
        <v>53</v>
      </c>
    </row>
    <row r="14" customFormat="false" ht="15" hidden="false" customHeight="false" outlineLevel="0" collapsed="false">
      <c r="A14" s="8" t="s">
        <v>27</v>
      </c>
      <c r="B14" s="9" t="s">
        <v>282</v>
      </c>
      <c r="C14" s="9" t="n">
        <v>0</v>
      </c>
      <c r="D14" s="9" t="s">
        <v>282</v>
      </c>
      <c r="E14" s="9" t="n">
        <v>54.8</v>
      </c>
      <c r="F14" s="9" t="s">
        <v>282</v>
      </c>
    </row>
    <row r="16" customFormat="false" ht="15" hidden="false" customHeight="false" outlineLevel="0" collapsed="false">
      <c r="A16" s="23" t="s">
        <v>283</v>
      </c>
    </row>
    <row r="17" customFormat="false" ht="15" hidden="false" customHeight="false" outlineLevel="0" collapsed="false">
      <c r="A17" s="23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16.1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15" hidden="false" customHeight="false" outlineLevel="0" collapsed="false">
      <c r="A4" s="7" t="s">
        <v>41</v>
      </c>
      <c r="B4" s="7" t="s">
        <v>287</v>
      </c>
      <c r="C4" s="7" t="s">
        <v>288</v>
      </c>
    </row>
    <row r="5" customFormat="false" ht="15" hidden="false" customHeight="false" outlineLevel="0" collapsed="false">
      <c r="A5" s="8" t="n">
        <v>2010</v>
      </c>
      <c r="B5" s="9" t="n">
        <v>1670321</v>
      </c>
      <c r="C5" s="35" t="n">
        <v>1.9741</v>
      </c>
    </row>
    <row r="6" customFormat="false" ht="15" hidden="false" customHeight="false" outlineLevel="0" collapsed="false">
      <c r="A6" s="8" t="n">
        <v>2011</v>
      </c>
      <c r="B6" s="9" t="n">
        <v>1572067</v>
      </c>
      <c r="C6" s="35" t="n">
        <v>2.024</v>
      </c>
    </row>
    <row r="7" customFormat="false" ht="15" hidden="false" customHeight="false" outlineLevel="0" collapsed="false">
      <c r="A7" s="8" t="n">
        <v>2012</v>
      </c>
      <c r="B7" s="9" t="n">
        <v>1749976</v>
      </c>
      <c r="C7" s="35" t="n">
        <v>1.7152</v>
      </c>
    </row>
    <row r="8" customFormat="false" ht="15" hidden="false" customHeight="false" outlineLevel="0" collapsed="false">
      <c r="A8" s="8" t="n">
        <v>2013</v>
      </c>
      <c r="B8" s="9" t="n">
        <v>1647036</v>
      </c>
      <c r="C8" s="35" t="n">
        <v>1.9787</v>
      </c>
    </row>
    <row r="9" customFormat="false" ht="15" hidden="false" customHeight="false" outlineLevel="0" collapsed="false">
      <c r="A9" s="8" t="n">
        <v>2014</v>
      </c>
      <c r="B9" s="9" t="n">
        <v>1959262</v>
      </c>
      <c r="C9" s="35" t="n">
        <v>1.7645</v>
      </c>
    </row>
    <row r="10" customFormat="false" ht="15" hidden="false" customHeight="false" outlineLevel="0" collapsed="false">
      <c r="A10" s="8" t="n">
        <v>2015</v>
      </c>
      <c r="B10" s="9" t="n">
        <v>2070572</v>
      </c>
      <c r="C10" s="35" t="n">
        <v>1.7406</v>
      </c>
    </row>
    <row r="11" customFormat="false" ht="15" hidden="false" customHeight="false" outlineLevel="0" collapsed="false">
      <c r="A11" s="8" t="n">
        <v>2016</v>
      </c>
      <c r="B11" s="9" t="n">
        <v>2195941</v>
      </c>
      <c r="C11" s="35" t="n">
        <v>1.98</v>
      </c>
    </row>
    <row r="12" customFormat="false" ht="15" hidden="false" customHeight="false" outlineLevel="0" collapsed="false">
      <c r="A12" s="8" t="n">
        <v>2017</v>
      </c>
      <c r="B12" s="9" t="n">
        <v>2169226</v>
      </c>
      <c r="C12" s="35" t="n">
        <v>1.84</v>
      </c>
    </row>
    <row r="13" customFormat="false" ht="15" hidden="false" customHeight="false" outlineLevel="0" collapsed="false">
      <c r="A13" s="8" t="n">
        <v>2018</v>
      </c>
      <c r="B13" s="9" t="n">
        <v>2398636.8</v>
      </c>
      <c r="C13" s="35" t="n">
        <v>1.8456</v>
      </c>
    </row>
    <row r="14" customFormat="false" ht="15" hidden="false" customHeight="false" outlineLevel="0" collapsed="false">
      <c r="A14" s="8" t="n">
        <v>2019</v>
      </c>
      <c r="B14" s="9" t="n">
        <v>2217215</v>
      </c>
      <c r="C14" s="35" t="n">
        <v>1.9055</v>
      </c>
    </row>
    <row r="15" customFormat="false" ht="15" hidden="false" customHeight="false" outlineLevel="0" collapsed="false">
      <c r="A15" s="8" t="n">
        <v>2020</v>
      </c>
      <c r="B15" s="9" t="n">
        <v>2087957.1</v>
      </c>
      <c r="C15" s="35" t="n">
        <v>1.7847</v>
      </c>
    </row>
    <row r="16" customFormat="false" ht="15" hidden="false" customHeight="false" outlineLevel="0" collapsed="false">
      <c r="A16" s="8" t="n">
        <v>2021</v>
      </c>
      <c r="B16" s="9" t="n">
        <v>2100000</v>
      </c>
      <c r="C16" s="35" t="n">
        <v>1.7707</v>
      </c>
    </row>
    <row r="17" customFormat="false" ht="15" hidden="false" customHeight="false" outlineLevel="0" collapsed="false">
      <c r="A17" s="8" t="n">
        <v>2022</v>
      </c>
      <c r="B17" s="9" t="n">
        <v>2200000</v>
      </c>
      <c r="C17" s="35" t="n">
        <v>1.6923</v>
      </c>
    </row>
    <row r="18" customFormat="false" ht="15" hidden="false" customHeight="false" outlineLevel="0" collapsed="false">
      <c r="A18" s="8" t="n">
        <v>2023</v>
      </c>
      <c r="B18" s="9" t="n">
        <v>2200000</v>
      </c>
      <c r="C18" s="35" t="n">
        <v>1.8333</v>
      </c>
    </row>
    <row r="19" customFormat="false" ht="15" hidden="false" customHeight="false" outlineLevel="0" collapsed="false">
      <c r="A19" s="8" t="n">
        <v>2024</v>
      </c>
      <c r="B19" s="9" t="n">
        <v>2200000</v>
      </c>
      <c r="C19" s="35" t="n">
        <v>1.8333</v>
      </c>
    </row>
    <row r="21" customFormat="false" ht="15" hidden="false" customHeight="false" outlineLevel="0" collapsed="false">
      <c r="A21" s="2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2026-08-03T18:26:00Z</dcterms:created>
  <dc:creator>openpyxl</dc:creator>
  <dc:description/>
  <dc:language>en-US</dc:language>
  <cp:lastModifiedBy/>
  <dcterms:modified xsi:type="dcterms:W3CDTF">2026-08-03T18:26:01Z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